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'arcane'!$A$1:$BD$18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'hero_ranking'!$A$1:$K$8</definedName>
    <definedName name="_xlnm._FilterDatabase" localSheetId="6" hidden="1">'heroes'!$A$1:$H$36</definedName>
    <definedName name="_xlnm._FilterDatabase" localSheetId="7" hidden="1">'military'!$A$1:$BG$20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'other_towers'!$A$1:$AY$11</definedName>
    <definedName name="_xlnm._FilterDatabase" localSheetId="12" hidden="1">'ranger'!$A$1:$BD$20</definedName>
    <definedName name="_xlnm._FilterDatabase" localSheetId="13" hidden="1">'royal_family'!$A$1:$BK$23</definedName>
    <definedName name="_xlnm._FilterDatabase" localSheetId="14" hidden="1">'scarlet_knight'!$A$1:$BD$21</definedName>
    <definedName name="_xlnm._FilterDatabase" localSheetId="15" hidden="1">'specialist'!$A$1:$BI$22</definedName>
    <definedName name="_xlnm._FilterDatabase" localSheetId="16" hidden="1">'tempest'!$A$1:$BJ$21</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D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 width="14" customWidth="1" min="49" max="49"/>
    <col width="10" customWidth="1" min="50" max="50"/>
    <col width="13" customWidth="1" min="51" max="51"/>
    <col width="31" customWidth="1" min="52" max="52"/>
    <col width="31" customWidth="1" min="53" max="53"/>
    <col width="14" customWidth="1" min="54" max="54"/>
    <col width="15" customWidth="1" min="55" max="55"/>
    <col width="12" customWidth="1" min="56" max="5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c r="BA1" s="1" t="inlineStr">
        <is>
          <t>atk1_targets</t>
        </is>
      </c>
      <c r="BB1" s="1" t="inlineStr">
        <is>
          <t>atk2_targets</t>
        </is>
      </c>
      <c r="BC1" s="1" t="inlineStr">
        <is>
          <t>dps_vs_ground</t>
        </is>
      </c>
      <c r="BD1" s="1" t="inlineStr">
        <is>
          <t>dps_vs_air</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c r="AW2" t="n">
        <v>1</v>
      </c>
      <c r="AX2" t="inlineStr">
        <is>
          <t>yes</t>
        </is>
      </c>
      <c r="AY2" t="inlineStr">
        <is>
          <t>yes</t>
        </is>
      </c>
      <c r="AZ2" t="inlineStr">
        <is>
          <t>air,enemies,ground,nonancient</t>
        </is>
      </c>
      <c r="BA2" t="inlineStr">
        <is>
          <t>air,enemies,ground,nonancient</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c r="AW3" t="n">
        <v>1</v>
      </c>
      <c r="AX3" t="inlineStr">
        <is>
          <t>yes</t>
        </is>
      </c>
      <c r="AY3" t="inlineStr">
        <is>
          <t>yes</t>
        </is>
      </c>
      <c r="AZ3" t="inlineStr">
        <is>
          <t>air,enemies,ground,nonancient</t>
        </is>
      </c>
      <c r="BA3" t="inlineStr">
        <is>
          <t>air,enemies,ground,nonancient</t>
        </is>
      </c>
      <c r="BC3" t="n">
        <v>39.8</v>
      </c>
      <c r="BD3" t="n">
        <v>39.8</v>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c r="AW4" t="n">
        <v>1</v>
      </c>
      <c r="AX4" t="inlineStr">
        <is>
          <t>yes</t>
        </is>
      </c>
      <c r="AY4" t="inlineStr">
        <is>
          <t>yes</t>
        </is>
      </c>
      <c r="AZ4" t="inlineStr">
        <is>
          <t>air,enemies,ground,nonancient</t>
        </is>
      </c>
      <c r="BA4" t="inlineStr">
        <is>
          <t>air,enemies,ground,nonancient</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c r="AW5" t="n">
        <v>1</v>
      </c>
      <c r="AX5" t="inlineStr">
        <is>
          <t>yes</t>
        </is>
      </c>
      <c r="AY5" t="inlineStr">
        <is>
          <t>yes</t>
        </is>
      </c>
      <c r="AZ5" t="inlineStr">
        <is>
          <t>air,enemies,ground,nonancient</t>
        </is>
      </c>
      <c r="BA5" t="inlineStr">
        <is>
          <t>air,enemies,ground,nonancient</t>
        </is>
      </c>
      <c r="BC5" t="n">
        <v>47.3</v>
      </c>
      <c r="BD5" t="n">
        <v>47.3</v>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c r="AW6" t="n">
        <v>1</v>
      </c>
      <c r="AX6" t="inlineStr">
        <is>
          <t>yes</t>
        </is>
      </c>
      <c r="AY6" t="inlineStr">
        <is>
          <t>yes</t>
        </is>
      </c>
      <c r="AZ6" t="inlineStr">
        <is>
          <t>air,enemies,ground,nonancient</t>
        </is>
      </c>
      <c r="BA6" t="inlineStr">
        <is>
          <t>air,enemies,ground,nonancient</t>
        </is>
      </c>
      <c r="BC6" t="n">
        <v>48.6</v>
      </c>
      <c r="BD6" t="n">
        <v>48.6</v>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c r="AW7" t="n">
        <v>1</v>
      </c>
      <c r="AX7" t="inlineStr">
        <is>
          <t>yes</t>
        </is>
      </c>
      <c r="AY7" t="inlineStr">
        <is>
          <t>yes</t>
        </is>
      </c>
      <c r="AZ7" t="inlineStr">
        <is>
          <t>air,enemies,ground,nonancient</t>
        </is>
      </c>
      <c r="BA7" t="inlineStr">
        <is>
          <t>air,enemies,ground,nonancient</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c r="AW9" t="n">
        <v>1</v>
      </c>
      <c r="AX9" t="inlineStr">
        <is>
          <t>yes</t>
        </is>
      </c>
      <c r="AY9" t="inlineStr">
        <is>
          <t>yes</t>
        </is>
      </c>
      <c r="AZ9" t="inlineStr">
        <is>
          <t>air,enemies,ground,nonancient</t>
        </is>
      </c>
      <c r="BA9" t="inlineStr">
        <is>
          <t>air,enemies,ground,nonancient</t>
        </is>
      </c>
      <c r="BC9" t="n">
        <v>58</v>
      </c>
      <c r="BD9" t="n">
        <v>58</v>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c r="AW10" t="n">
        <v>1</v>
      </c>
      <c r="AX10" t="inlineStr">
        <is>
          <t>yes</t>
        </is>
      </c>
      <c r="AY10" t="inlineStr">
        <is>
          <t>yes</t>
        </is>
      </c>
      <c r="AZ10" t="inlineStr">
        <is>
          <t>air,enemies,ground,nonancient</t>
        </is>
      </c>
      <c r="BA10" t="inlineStr">
        <is>
          <t>air,enemies,ground,nonancient</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c r="BA11" t="inlineStr">
        <is>
          <t>air,enemies,ground,nonancient</t>
        </is>
      </c>
      <c r="BC11" t="n">
        <v>710</v>
      </c>
      <c r="BD11" t="n">
        <v>710</v>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c r="AW12" t="n">
        <v>1</v>
      </c>
      <c r="AX12" t="inlineStr">
        <is>
          <t>yes</t>
        </is>
      </c>
      <c r="AY12" t="inlineStr">
        <is>
          <t>yes</t>
        </is>
      </c>
      <c r="AZ12" t="inlineStr">
        <is>
          <t>air,enemies,ground,nonancient</t>
        </is>
      </c>
      <c r="BA12" t="inlineStr">
        <is>
          <t>air,enemies,ground,nonancient</t>
        </is>
      </c>
      <c r="BC12" t="n">
        <v>649.4</v>
      </c>
      <c r="BD12" t="n">
        <v>649.4</v>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c r="AW13" t="n">
        <v>1</v>
      </c>
      <c r="AX13" t="inlineStr">
        <is>
          <t>yes</t>
        </is>
      </c>
      <c r="AY13" t="inlineStr">
        <is>
          <t>yes</t>
        </is>
      </c>
      <c r="AZ13" t="inlineStr">
        <is>
          <t>air,enemies,ground,nonancient</t>
        </is>
      </c>
      <c r="BA13" t="inlineStr">
        <is>
          <t>air,enemies,ground,nonancient</t>
        </is>
      </c>
      <c r="BC13" t="n">
        <v>857.1</v>
      </c>
      <c r="BD13" t="n">
        <v>857.1</v>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c r="AW14" t="n">
        <v>1</v>
      </c>
      <c r="AX14" t="inlineStr">
        <is>
          <t>yes</t>
        </is>
      </c>
      <c r="AY14" t="inlineStr">
        <is>
          <t>yes</t>
        </is>
      </c>
      <c r="AZ14" t="inlineStr">
        <is>
          <t>air,enemies,ground,nonancient</t>
        </is>
      </c>
      <c r="BA14" t="inlineStr">
        <is>
          <t>air,enemies,ground,nonancient</t>
        </is>
      </c>
      <c r="BC14" t="n">
        <v>1356.7</v>
      </c>
      <c r="BD14" t="n">
        <v>1356.7</v>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BD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4" customWidth="1" min="3" max="3"/>
    <col width="21" customWidth="1" min="4" max="4"/>
    <col width="14" customWidth="1" min="5" max="5"/>
    <col width="25" customWidth="1" min="6" max="6"/>
    <col width="15" customWidth="1" min="7" max="7"/>
    <col width="17" customWidth="1" min="8" max="8"/>
    <col width="29" customWidth="1" min="9" max="9"/>
    <col width="10" customWidth="1" min="10" max="10"/>
    <col width="16" customWidth="1" min="11" max="11"/>
  </cols>
  <sheetData>
    <row r="1">
      <c r="A1" s="1" t="inlineStr">
        <is>
          <t>hero</t>
        </is>
      </c>
      <c r="B1" s="1" t="inlineStr">
        <is>
          <t>towers_scored</t>
        </is>
      </c>
      <c r="C1" s="1" t="inlineStr">
        <is>
          <t>towers_total</t>
        </is>
      </c>
      <c r="D1" s="1" t="inlineStr">
        <is>
          <t>median_dps_per_gold</t>
        </is>
      </c>
      <c r="E1" s="1" t="inlineStr">
        <is>
          <t>median_range</t>
        </is>
      </c>
      <c r="F1" s="1" t="inlineStr">
        <is>
          <t>median_coverage_adj_eff</t>
        </is>
      </c>
      <c r="G1" s="1" t="inlineStr">
        <is>
          <t>best_tower</t>
        </is>
      </c>
      <c r="H1" s="1" t="inlineStr">
        <is>
          <t>best_tower_cost</t>
        </is>
      </c>
      <c r="I1" s="1" t="inlineStr">
        <is>
          <t>best_tower_coverage_adj_eff</t>
        </is>
      </c>
      <c r="J1" s="1" t="inlineStr">
        <is>
          <t>peak_dps</t>
        </is>
      </c>
      <c r="K1" s="1" t="inlineStr">
        <is>
          <t>hero_abilities</t>
        </is>
      </c>
    </row>
    <row r="2">
      <c r="A2" t="inlineStr">
        <is>
          <t>scarlet_knight</t>
        </is>
      </c>
      <c r="B2" t="n">
        <v>20</v>
      </c>
      <c r="C2" t="n">
        <v>20</v>
      </c>
      <c r="D2" t="n">
        <v>2.8</v>
      </c>
      <c r="E2" t="n">
        <v>1300</v>
      </c>
      <c r="F2" t="n">
        <v>9.5</v>
      </c>
      <c r="G2" t="inlineStr">
        <is>
          <t>Glacial Spike</t>
        </is>
      </c>
      <c r="H2" t="n">
        <v>935</v>
      </c>
      <c r="I2" t="n">
        <v>45.85</v>
      </c>
      <c r="J2" t="n">
        <v>13333</v>
      </c>
      <c r="K2" t="n">
        <v>5</v>
      </c>
    </row>
    <row r="3">
      <c r="A3" t="inlineStr">
        <is>
          <t>royal_family</t>
        </is>
      </c>
      <c r="B3" t="n">
        <v>21</v>
      </c>
      <c r="C3" t="n">
        <v>22</v>
      </c>
      <c r="D3" t="n">
        <v>5.88</v>
      </c>
      <c r="E3" t="n">
        <v>700</v>
      </c>
      <c r="F3" t="n">
        <v>7.26</v>
      </c>
      <c r="G3" t="inlineStr">
        <is>
          <t>Martyr</t>
        </is>
      </c>
      <c r="H3" t="n">
        <v>260</v>
      </c>
      <c r="I3" t="n">
        <v>41.86</v>
      </c>
      <c r="J3" t="n">
        <v>7063</v>
      </c>
      <c r="K3" t="n">
        <v>5</v>
      </c>
    </row>
    <row r="4">
      <c r="A4" t="inlineStr">
        <is>
          <t>ranger</t>
        </is>
      </c>
      <c r="B4" t="n">
        <v>19</v>
      </c>
      <c r="C4" t="n">
        <v>19</v>
      </c>
      <c r="D4" t="n">
        <v>5.3</v>
      </c>
      <c r="E4" t="n">
        <v>800</v>
      </c>
      <c r="F4" t="n">
        <v>5.84</v>
      </c>
      <c r="G4" t="inlineStr">
        <is>
          <t>Noir Heart</t>
        </is>
      </c>
      <c r="H4" t="n">
        <v>415</v>
      </c>
      <c r="I4" t="n">
        <v>68.58</v>
      </c>
      <c r="J4" t="n">
        <v>14960</v>
      </c>
      <c r="K4" t="n">
        <v>5</v>
      </c>
    </row>
    <row r="5">
      <c r="A5" t="inlineStr">
        <is>
          <t>arcane</t>
        </is>
      </c>
      <c r="B5" t="n">
        <v>8</v>
      </c>
      <c r="C5" t="n">
        <v>17</v>
      </c>
      <c r="D5" t="n">
        <v>2.04</v>
      </c>
      <c r="E5" t="n">
        <v>1150</v>
      </c>
      <c r="F5" t="n">
        <v>5.43</v>
      </c>
      <c r="G5" t="inlineStr">
        <is>
          <t>Fire Hydra</t>
        </is>
      </c>
      <c r="H5" t="n">
        <v>255</v>
      </c>
      <c r="I5" t="n">
        <v>6.41</v>
      </c>
      <c r="J5" t="n">
        <v>1357</v>
      </c>
      <c r="K5" t="n">
        <v>5</v>
      </c>
    </row>
    <row r="6">
      <c r="A6" t="inlineStr">
        <is>
          <t>tempest</t>
        </is>
      </c>
      <c r="B6" t="n">
        <v>20</v>
      </c>
      <c r="C6" t="n">
        <v>20</v>
      </c>
      <c r="D6" t="n">
        <v>4.24</v>
      </c>
      <c r="E6" t="n">
        <v>800</v>
      </c>
      <c r="F6" t="n">
        <v>5.22</v>
      </c>
      <c r="G6" t="inlineStr">
        <is>
          <t>Jenovaroth</t>
        </is>
      </c>
      <c r="H6" t="n">
        <v>800</v>
      </c>
      <c r="I6" t="n">
        <v>101.25</v>
      </c>
      <c r="J6" t="n">
        <v>21722</v>
      </c>
      <c r="K6" t="n">
        <v>5</v>
      </c>
    </row>
    <row r="7">
      <c r="A7" t="inlineStr">
        <is>
          <t>specialist</t>
        </is>
      </c>
      <c r="B7" t="n">
        <v>20</v>
      </c>
      <c r="C7" t="n">
        <v>21</v>
      </c>
      <c r="D7" t="n">
        <v>4.35</v>
      </c>
      <c r="E7" t="n">
        <v>850</v>
      </c>
      <c r="F7" t="n">
        <v>5.09</v>
      </c>
      <c r="G7" t="inlineStr">
        <is>
          <t>Apocalypse</t>
        </is>
      </c>
      <c r="H7" t="n">
        <v>800</v>
      </c>
      <c r="I7" t="n">
        <v>28.28</v>
      </c>
      <c r="J7" t="n">
        <v>7036</v>
      </c>
      <c r="K7" t="n">
        <v>5</v>
      </c>
    </row>
    <row r="8">
      <c r="A8" t="inlineStr">
        <is>
          <t>military</t>
        </is>
      </c>
      <c r="B8" t="n">
        <v>19</v>
      </c>
      <c r="C8" t="n">
        <v>19</v>
      </c>
      <c r="D8" t="n">
        <v>9.59</v>
      </c>
      <c r="E8" t="n">
        <v>125</v>
      </c>
      <c r="F8" t="n">
        <v>0.59</v>
      </c>
      <c r="G8" t="inlineStr">
        <is>
          <t>Tamed Game</t>
        </is>
      </c>
      <c r="H8" t="n">
        <v>205</v>
      </c>
      <c r="I8" t="n">
        <v>20.54</v>
      </c>
      <c r="J8" t="n">
        <v>9026</v>
      </c>
      <c r="K8" t="n">
        <v>5</v>
      </c>
    </row>
  </sheetData>
  <autoFilter ref="A1:K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G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 width="14" customWidth="1" min="52" max="52"/>
    <col width="10" customWidth="1" min="53" max="53"/>
    <col width="13" customWidth="1" min="54" max="54"/>
    <col width="31" customWidth="1" min="55" max="55"/>
    <col width="31" customWidth="1" min="56" max="56"/>
    <col width="24" customWidth="1" min="57" max="57"/>
    <col width="15" customWidth="1" min="58" max="58"/>
    <col width="12" customWidth="1" min="59" max="59"/>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c r="AZ1" s="1" t="inlineStr">
        <is>
          <t>attack_count</t>
        </is>
      </c>
      <c r="BA1" s="1" t="inlineStr">
        <is>
          <t>hits_air</t>
        </is>
      </c>
      <c r="BB1" s="1" t="inlineStr">
        <is>
          <t>hits_ground</t>
        </is>
      </c>
      <c r="BC1" s="1" t="inlineStr">
        <is>
          <t>targets_all</t>
        </is>
      </c>
      <c r="BD1" s="1" t="inlineStr">
        <is>
          <t>atk1_targets</t>
        </is>
      </c>
      <c r="BE1" s="1" t="inlineStr">
        <is>
          <t>atk2_targets</t>
        </is>
      </c>
      <c r="BF1" s="1" t="inlineStr">
        <is>
          <t>dps_vs_ground</t>
        </is>
      </c>
      <c r="BG1" s="1" t="inlineStr">
        <is>
          <t>dps_vs_air</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c r="AZ2" t="n">
        <v>1</v>
      </c>
      <c r="BA2" t="inlineStr">
        <is>
          <t>yes</t>
        </is>
      </c>
      <c r="BB2" t="inlineStr">
        <is>
          <t>yes</t>
        </is>
      </c>
      <c r="BC2" t="inlineStr">
        <is>
          <t>air,enemies,ground,nonancient</t>
        </is>
      </c>
      <c r="BD2" t="inlineStr">
        <is>
          <t>air,enemies,ground,nonancient</t>
        </is>
      </c>
      <c r="BF2" t="n">
        <v>93.5</v>
      </c>
      <c r="BG2" t="n">
        <v>93.5</v>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c r="AZ3" t="n">
        <v>1</v>
      </c>
      <c r="BA3" t="inlineStr">
        <is>
          <t>yes</t>
        </is>
      </c>
      <c r="BB3" t="inlineStr">
        <is>
          <t>yes</t>
        </is>
      </c>
      <c r="BC3" t="inlineStr">
        <is>
          <t>air,enemies,ground,nonancient</t>
        </is>
      </c>
      <c r="BD3" t="inlineStr">
        <is>
          <t>air,enemies,ground,nonancient</t>
        </is>
      </c>
      <c r="BF3" t="n">
        <v>779.3</v>
      </c>
      <c r="BG3" t="n">
        <v>779.3</v>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c r="AZ4" t="n">
        <v>1</v>
      </c>
      <c r="BA4" t="inlineStr">
        <is>
          <t>yes</t>
        </is>
      </c>
      <c r="BB4" t="inlineStr">
        <is>
          <t>yes</t>
        </is>
      </c>
      <c r="BC4" t="inlineStr">
        <is>
          <t>air,enemies,ground,nonancient</t>
        </is>
      </c>
      <c r="BD4" t="inlineStr">
        <is>
          <t>air,enemies,ground,nonancient</t>
        </is>
      </c>
      <c r="BF4" t="n">
        <v>218.6</v>
      </c>
      <c r="BG4" t="n">
        <v>218.6</v>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c r="AZ5" t="n">
        <v>1</v>
      </c>
      <c r="BA5" t="inlineStr">
        <is>
          <t>yes</t>
        </is>
      </c>
      <c r="BB5" t="inlineStr">
        <is>
          <t>yes</t>
        </is>
      </c>
      <c r="BC5" t="inlineStr">
        <is>
          <t>air,enemies,ground,nonancient</t>
        </is>
      </c>
      <c r="BD5" t="inlineStr">
        <is>
          <t>air,enemies,ground,nonancient</t>
        </is>
      </c>
      <c r="BF5" t="n">
        <v>1825.3</v>
      </c>
      <c r="BG5" t="n">
        <v>1825.3</v>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c r="AZ6" t="n">
        <v>1</v>
      </c>
      <c r="BA6" t="inlineStr">
        <is>
          <t>yes</t>
        </is>
      </c>
      <c r="BB6" t="inlineStr">
        <is>
          <t>yes</t>
        </is>
      </c>
      <c r="BC6" t="inlineStr">
        <is>
          <t>air,enemies,ground,nonancient</t>
        </is>
      </c>
      <c r="BD6" t="inlineStr">
        <is>
          <t>air,enemies,ground,nonancient</t>
        </is>
      </c>
      <c r="BF6" t="n">
        <v>175</v>
      </c>
      <c r="BG6" t="n">
        <v>175</v>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c r="AZ7" t="n">
        <v>1</v>
      </c>
      <c r="BA7" t="inlineStr">
        <is>
          <t>yes</t>
        </is>
      </c>
      <c r="BB7" t="inlineStr">
        <is>
          <t>yes</t>
        </is>
      </c>
      <c r="BC7" t="inlineStr">
        <is>
          <t>air,enemies,ground,nonancient</t>
        </is>
      </c>
      <c r="BD7" t="inlineStr">
        <is>
          <t>air,enemies,ground,nonancient</t>
        </is>
      </c>
      <c r="BF7" t="n">
        <v>2062.6</v>
      </c>
      <c r="BG7" t="n">
        <v>2062.6</v>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c r="AZ8" t="n">
        <v>1</v>
      </c>
      <c r="BA8" t="inlineStr">
        <is>
          <t>yes</t>
        </is>
      </c>
      <c r="BB8" t="inlineStr">
        <is>
          <t>yes</t>
        </is>
      </c>
      <c r="BC8" t="inlineStr">
        <is>
          <t>air,enemies,ground,nonancient</t>
        </is>
      </c>
      <c r="BD8" t="inlineStr">
        <is>
          <t>air,enemies,ground,nonancient</t>
        </is>
      </c>
      <c r="BF8" t="n">
        <v>3156</v>
      </c>
      <c r="BG8" t="n">
        <v>3156</v>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c r="AZ9" t="n">
        <v>1</v>
      </c>
      <c r="BA9" t="inlineStr">
        <is>
          <t>yes</t>
        </is>
      </c>
      <c r="BB9" t="inlineStr">
        <is>
          <t>yes</t>
        </is>
      </c>
      <c r="BC9" t="inlineStr">
        <is>
          <t>air,enemies,ground,nonancient</t>
        </is>
      </c>
      <c r="BD9" t="inlineStr">
        <is>
          <t>air,enemies,ground,nonancient</t>
        </is>
      </c>
      <c r="BF9" t="n">
        <v>81.7</v>
      </c>
      <c r="BG9" t="n">
        <v>81.7</v>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c r="AZ10" t="n">
        <v>1</v>
      </c>
      <c r="BA10" t="inlineStr">
        <is>
          <t>yes</t>
        </is>
      </c>
      <c r="BB10" t="inlineStr">
        <is>
          <t>yes</t>
        </is>
      </c>
      <c r="BC10" t="inlineStr">
        <is>
          <t>air,enemies,ground,nonancient</t>
        </is>
      </c>
      <c r="BD10" t="inlineStr">
        <is>
          <t>air,enemies,ground,nonancient</t>
        </is>
      </c>
      <c r="BF10" t="n">
        <v>363</v>
      </c>
      <c r="BG10" t="n">
        <v>363</v>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c r="AZ11" t="n">
        <v>1</v>
      </c>
      <c r="BA11" t="inlineStr">
        <is>
          <t>yes</t>
        </is>
      </c>
      <c r="BB11" t="inlineStr">
        <is>
          <t>yes</t>
        </is>
      </c>
      <c r="BC11" t="inlineStr">
        <is>
          <t>air,enemies,ground,nonancient</t>
        </is>
      </c>
      <c r="BD11" t="inlineStr">
        <is>
          <t>air,enemies,ground,nonancient</t>
        </is>
      </c>
      <c r="BF11" t="n">
        <v>2007.5</v>
      </c>
      <c r="BG11" t="n">
        <v>2007.5</v>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c r="AZ12" t="n">
        <v>1</v>
      </c>
      <c r="BA12" t="inlineStr">
        <is>
          <t>yes</t>
        </is>
      </c>
      <c r="BB12" t="inlineStr">
        <is>
          <t>yes</t>
        </is>
      </c>
      <c r="BC12" t="inlineStr">
        <is>
          <t>air,enemies,ground,nonancient</t>
        </is>
      </c>
      <c r="BD12" t="inlineStr">
        <is>
          <t>air,enemies,ground,nonancient</t>
        </is>
      </c>
      <c r="BF12" t="n">
        <v>2380</v>
      </c>
      <c r="BG12" t="n">
        <v>2380</v>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c r="AZ13" t="n">
        <v>1</v>
      </c>
      <c r="BA13" t="inlineStr">
        <is>
          <t>yes</t>
        </is>
      </c>
      <c r="BB13" t="inlineStr">
        <is>
          <t>yes</t>
        </is>
      </c>
      <c r="BC13" t="inlineStr">
        <is>
          <t>air,enemies,ground,nonancient</t>
        </is>
      </c>
      <c r="BD13" t="inlineStr">
        <is>
          <t>air,enemies,ground,nonancient</t>
        </is>
      </c>
      <c r="BF13" t="n">
        <v>9026</v>
      </c>
      <c r="BG13" t="n">
        <v>9026</v>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c r="AZ14" t="n">
        <v>1</v>
      </c>
      <c r="BA14" t="inlineStr">
        <is>
          <t>yes</t>
        </is>
      </c>
      <c r="BB14" t="inlineStr">
        <is>
          <t>yes</t>
        </is>
      </c>
      <c r="BC14" t="inlineStr">
        <is>
          <t>air,enemies,ground,nonancient</t>
        </is>
      </c>
      <c r="BD14" t="inlineStr">
        <is>
          <t>air,enemies,ground,nonancient</t>
        </is>
      </c>
      <c r="BF14" t="n">
        <v>4925.8</v>
      </c>
      <c r="BG14" t="n">
        <v>4925.8</v>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c r="AZ15" t="n">
        <v>1</v>
      </c>
      <c r="BA15" t="inlineStr">
        <is>
          <t>yes</t>
        </is>
      </c>
      <c r="BB15" t="inlineStr">
        <is>
          <t>yes</t>
        </is>
      </c>
      <c r="BC15" t="inlineStr">
        <is>
          <t>air,enemies,ground,nonancient</t>
        </is>
      </c>
      <c r="BD15" t="inlineStr">
        <is>
          <t>air,enemies,ground,nonancient</t>
        </is>
      </c>
      <c r="BF15" t="n">
        <v>727</v>
      </c>
      <c r="BG15" t="n">
        <v>727</v>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c r="AZ16" t="n">
        <v>1</v>
      </c>
      <c r="BA16" t="inlineStr">
        <is>
          <t>yes</t>
        </is>
      </c>
      <c r="BB16" t="inlineStr">
        <is>
          <t>yes</t>
        </is>
      </c>
      <c r="BC16" t="inlineStr">
        <is>
          <t>air,enemies,ground,nonancient</t>
        </is>
      </c>
      <c r="BD16" t="inlineStr">
        <is>
          <t>air,enemies,ground,nonancient</t>
        </is>
      </c>
      <c r="BF16" t="n">
        <v>2118.7</v>
      </c>
      <c r="BG16" t="n">
        <v>2118.7</v>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c r="AZ17" t="n">
        <v>1</v>
      </c>
      <c r="BA17" t="inlineStr">
        <is>
          <t>yes</t>
        </is>
      </c>
      <c r="BB17" t="inlineStr">
        <is>
          <t>yes</t>
        </is>
      </c>
      <c r="BC17" t="inlineStr">
        <is>
          <t>air,enemies,ground,nonancient</t>
        </is>
      </c>
      <c r="BD17" t="inlineStr">
        <is>
          <t>air,enemies,ground,nonancient</t>
        </is>
      </c>
      <c r="BF17" t="n">
        <v>1807.6</v>
      </c>
      <c r="BG17" t="n">
        <v>1807.6</v>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c r="AZ18" t="n">
        <v>2</v>
      </c>
      <c r="BA18" t="inlineStr">
        <is>
          <t>yes</t>
        </is>
      </c>
      <c r="BB18" t="inlineStr">
        <is>
          <t>yes</t>
        </is>
      </c>
      <c r="BC18" t="inlineStr">
        <is>
          <t>air,enemies,ground,nonancient</t>
        </is>
      </c>
      <c r="BD18" t="inlineStr">
        <is>
          <t>enemies,ground,nonancient</t>
        </is>
      </c>
      <c r="BE18" t="inlineStr">
        <is>
          <t>air,enemies,nonancient</t>
        </is>
      </c>
      <c r="BF18" t="n">
        <v>1630.5</v>
      </c>
      <c r="BG18" t="n">
        <v>2697.5</v>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c r="AZ19" t="n">
        <v>1</v>
      </c>
      <c r="BA19" t="inlineStr">
        <is>
          <t>yes</t>
        </is>
      </c>
      <c r="BB19" t="inlineStr">
        <is>
          <t>yes</t>
        </is>
      </c>
      <c r="BC19" t="inlineStr">
        <is>
          <t>air,enemies,ground,nonancient</t>
        </is>
      </c>
      <c r="BD19" t="inlineStr">
        <is>
          <t>air,enemies,ground,nonancient</t>
        </is>
      </c>
      <c r="BF19" t="n">
        <v>5275</v>
      </c>
      <c r="BG19" t="n">
        <v>5275</v>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c r="AZ20" t="n">
        <v>1</v>
      </c>
      <c r="BA20" t="inlineStr">
        <is>
          <t>yes</t>
        </is>
      </c>
      <c r="BB20" t="inlineStr">
        <is>
          <t>yes</t>
        </is>
      </c>
      <c r="BC20" t="inlineStr">
        <is>
          <t>air,enemies,ground,nonancient</t>
        </is>
      </c>
      <c r="BD20" t="inlineStr">
        <is>
          <t>air,enemies,ground,nonancient</t>
        </is>
      </c>
      <c r="BF20" t="n">
        <v>8905.6</v>
      </c>
      <c r="BG20" t="n">
        <v>8905.6</v>
      </c>
    </row>
  </sheetData>
  <autoFilter ref="A1:BG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Y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9" customWidth="1" min="34" max="34"/>
    <col width="17" customWidth="1" min="35" max="35"/>
    <col width="11"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 width="15" customWidth="1" min="50" max="50"/>
    <col width="12" customWidth="1" min="51" max="51"/>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c r="AX1" s="1" t="inlineStr">
        <is>
          <t>dps_vs_ground</t>
        </is>
      </c>
      <c r="AY1" s="1" t="inlineStr">
        <is>
          <t>dps_vs_air</t>
        </is>
      </c>
    </row>
    <row r="2">
      <c r="A2" t="inlineStr">
        <is>
          <t>h04I</t>
        </is>
      </c>
      <c r="B2" t="inlineStr">
        <is>
          <t>Equipped Peasant 1</t>
        </is>
      </c>
      <c r="C2" t="n">
        <v>10</v>
      </c>
      <c r="D2" t="n">
        <v>0</v>
      </c>
      <c r="F2" t="n">
        <v>19</v>
      </c>
      <c r="G2" t="n">
        <v>21</v>
      </c>
      <c r="H2" t="n">
        <v>20</v>
      </c>
      <c r="I2" t="n">
        <v>0.6</v>
      </c>
      <c r="J2" t="n">
        <v>33.3</v>
      </c>
      <c r="K2" t="n">
        <v>125</v>
      </c>
      <c r="M2" t="inlineStr">
        <is>
          <t>normal</t>
        </is>
      </c>
      <c r="N2" t="n">
        <v>18</v>
      </c>
      <c r="O2" t="n">
        <v>1</v>
      </c>
      <c r="P2" t="n">
        <v>3</v>
      </c>
      <c r="Q2" t="inlineStr">
        <is>
          <t>normal</t>
        </is>
      </c>
      <c r="R2" t="inlineStr">
        <is>
          <t>hhou</t>
        </is>
      </c>
      <c r="AD2" t="n">
        <v>0</v>
      </c>
      <c r="AE2" s="2" t="n">
        <v>1250</v>
      </c>
      <c r="AF2" t="inlineStr">
        <is>
          <t>A03C,A028</t>
        </is>
      </c>
      <c r="AK2" t="inlineStr">
        <is>
          <t>Vindicator II (A03C); Sell Tower (A028)</t>
        </is>
      </c>
      <c r="AL2" s="2" t="n">
        <v>33.3</v>
      </c>
      <c r="AM2" s="3" t="n">
        <v>3.5</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h03P</t>
        </is>
      </c>
      <c r="B3" t="inlineStr">
        <is>
          <t>Equipped Peasant 2</t>
        </is>
      </c>
      <c r="C3" t="n">
        <v>10</v>
      </c>
      <c r="D3" t="n">
        <v>0</v>
      </c>
      <c r="F3" t="n">
        <v>20</v>
      </c>
      <c r="G3" t="n">
        <v>22</v>
      </c>
      <c r="H3" t="n">
        <v>21</v>
      </c>
      <c r="I3" t="n">
        <v>0.6</v>
      </c>
      <c r="J3" t="n">
        <v>35</v>
      </c>
      <c r="K3" t="n">
        <v>125</v>
      </c>
      <c r="M3" t="inlineStr">
        <is>
          <t>normal</t>
        </is>
      </c>
      <c r="N3" t="n">
        <v>19</v>
      </c>
      <c r="O3" t="n">
        <v>1</v>
      </c>
      <c r="P3" t="n">
        <v>3</v>
      </c>
      <c r="Q3" t="inlineStr">
        <is>
          <t>normal</t>
        </is>
      </c>
      <c r="R3" t="inlineStr">
        <is>
          <t>hhou</t>
        </is>
      </c>
      <c r="AD3" t="n">
        <v>0</v>
      </c>
      <c r="AE3" s="2" t="n">
        <v>1500</v>
      </c>
      <c r="AF3" t="inlineStr">
        <is>
          <t>A03C,A004,A028</t>
        </is>
      </c>
      <c r="AK3" t="inlineStr">
        <is>
          <t>Vindicator II (A03C); Versatile Critical Strike I (A004); Sell Tower (A028)</t>
        </is>
      </c>
      <c r="AL3" s="2" t="n">
        <v>35</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h04O</t>
        </is>
      </c>
      <c r="B4" t="inlineStr">
        <is>
          <t>Equipped Peasant 3</t>
        </is>
      </c>
      <c r="C4" t="n">
        <v>10</v>
      </c>
      <c r="D4" t="n">
        <v>0</v>
      </c>
      <c r="F4" t="n">
        <v>22</v>
      </c>
      <c r="G4" t="n">
        <v>26</v>
      </c>
      <c r="H4" t="n">
        <v>24</v>
      </c>
      <c r="I4" t="n">
        <v>0.6</v>
      </c>
      <c r="J4" t="n">
        <v>40</v>
      </c>
      <c r="K4" t="n">
        <v>125</v>
      </c>
      <c r="M4" t="inlineStr">
        <is>
          <t>normal</t>
        </is>
      </c>
      <c r="N4" t="n">
        <v>21</v>
      </c>
      <c r="O4" t="n">
        <v>1</v>
      </c>
      <c r="P4" t="n">
        <v>5</v>
      </c>
      <c r="Q4" t="inlineStr">
        <is>
          <t>normal</t>
        </is>
      </c>
      <c r="R4" t="inlineStr">
        <is>
          <t>hhou</t>
        </is>
      </c>
      <c r="AD4" t="n">
        <v>1</v>
      </c>
      <c r="AE4" s="2" t="n">
        <v>1750</v>
      </c>
      <c r="AF4" t="inlineStr">
        <is>
          <t>A03C,A01E,A028</t>
        </is>
      </c>
      <c r="AK4" t="inlineStr">
        <is>
          <t>Vindicator II (A03C); Versatile Critical Strike II (A01E); Sell Tower (A028)</t>
        </is>
      </c>
      <c r="AL4" s="2" t="n">
        <v>40</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h04P</t>
        </is>
      </c>
      <c r="B5" t="inlineStr">
        <is>
          <t>Equipped Peasant 4</t>
        </is>
      </c>
      <c r="C5" t="n">
        <v>10</v>
      </c>
      <c r="D5" t="n">
        <v>0</v>
      </c>
      <c r="F5" t="n">
        <v>25</v>
      </c>
      <c r="G5" t="n">
        <v>31</v>
      </c>
      <c r="H5" t="n">
        <v>28</v>
      </c>
      <c r="I5" t="n">
        <v>0.6</v>
      </c>
      <c r="J5" t="n">
        <v>46.7</v>
      </c>
      <c r="K5" t="n">
        <v>125</v>
      </c>
      <c r="M5" t="inlineStr">
        <is>
          <t>normal</t>
        </is>
      </c>
      <c r="N5" t="n">
        <v>24</v>
      </c>
      <c r="O5" t="n">
        <v>1</v>
      </c>
      <c r="P5" t="n">
        <v>7</v>
      </c>
      <c r="Q5" t="inlineStr">
        <is>
          <t>normal</t>
        </is>
      </c>
      <c r="R5" t="inlineStr">
        <is>
          <t>hhou</t>
        </is>
      </c>
      <c r="AD5" t="n">
        <v>2</v>
      </c>
      <c r="AE5" s="2" t="n">
        <v>2000</v>
      </c>
      <c r="AF5" t="inlineStr">
        <is>
          <t>A02Z,A01E,A028</t>
        </is>
      </c>
      <c r="AK5" t="inlineStr">
        <is>
          <t>Vindicator III (A02Z); Versatile Critical Strike II (A01E); Sell Tower (A028)</t>
        </is>
      </c>
      <c r="AL5" s="2" t="n">
        <v>46.7</v>
      </c>
      <c r="AM5" s="3" t="n">
        <v>5.5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h04Q</t>
        </is>
      </c>
      <c r="B6" t="inlineStr">
        <is>
          <t>Equipped Peasant 5</t>
        </is>
      </c>
      <c r="C6" t="n">
        <v>10</v>
      </c>
      <c r="D6" t="n">
        <v>0</v>
      </c>
      <c r="F6" t="n">
        <v>39</v>
      </c>
      <c r="G6" t="n">
        <v>47</v>
      </c>
      <c r="H6" t="n">
        <v>43</v>
      </c>
      <c r="I6" t="n">
        <v>0.6</v>
      </c>
      <c r="J6" t="n">
        <v>71.7</v>
      </c>
      <c r="K6" t="n">
        <v>125</v>
      </c>
      <c r="M6" t="inlineStr">
        <is>
          <t>normal</t>
        </is>
      </c>
      <c r="N6" t="n">
        <v>38</v>
      </c>
      <c r="O6" t="n">
        <v>1</v>
      </c>
      <c r="P6" t="n">
        <v>9</v>
      </c>
      <c r="Q6" t="inlineStr">
        <is>
          <t>normal</t>
        </is>
      </c>
      <c r="R6" t="inlineStr">
        <is>
          <t>hhou</t>
        </is>
      </c>
      <c r="AD6" t="n">
        <v>4</v>
      </c>
      <c r="AE6" s="2" t="n">
        <v>2250</v>
      </c>
      <c r="AF6" t="inlineStr">
        <is>
          <t>ANbh,A02Z,A01E,A028</t>
        </is>
      </c>
      <c r="AK6" t="inlineStr">
        <is>
          <t>Bash I (ANbh); Vindicator III (A02Z); Versatile Critical Strike II (A01E); Sell Tower (A028)</t>
        </is>
      </c>
      <c r="AL6" s="2" t="n">
        <v>71.7</v>
      </c>
      <c r="AM6" s="3" t="n">
        <v>5.5</v>
      </c>
      <c r="AN6" s="2">
        <f>AL6*AM6</f>
        <v/>
      </c>
      <c r="AO6" s="2" t="n">
        <v>16.7</v>
      </c>
      <c r="AP6" s="2" t="n"/>
      <c r="AQ6" s="2">
        <f>AN6+N(AO6)+N(AP6)</f>
        <v/>
      </c>
      <c r="AR6" s="3">
        <f>IF(C6=0,"",AQ6/C6)</f>
        <v/>
      </c>
      <c r="AS6" s="3">
        <f>IF(C6=0,"",AR6*(K6/725))</f>
        <v/>
      </c>
      <c r="AT6" s="3">
        <f>(K6/725)^2</f>
        <v/>
      </c>
      <c r="AU6" s="3">
        <f>IF(C6=0,"",AR6*AT6)</f>
        <v/>
      </c>
      <c r="AV6" t="inlineStr">
        <is>
          <t>basic attack</t>
        </is>
      </c>
      <c r="AW6" t="inlineStr">
        <is>
          <t>map</t>
        </is>
      </c>
    </row>
    <row r="7">
      <c r="A7" t="inlineStr">
        <is>
          <t>h00R</t>
        </is>
      </c>
      <c r="B7" t="inlineStr">
        <is>
          <t>Exiled Soul</t>
        </is>
      </c>
      <c r="C7" t="n">
        <v>60</v>
      </c>
      <c r="D7" t="n">
        <v>0</v>
      </c>
      <c r="F7" t="n">
        <v>55</v>
      </c>
      <c r="G7" t="n">
        <v>57</v>
      </c>
      <c r="H7" t="n">
        <v>56</v>
      </c>
      <c r="I7" t="n">
        <v>0.2</v>
      </c>
      <c r="J7" t="n">
        <v>280</v>
      </c>
      <c r="K7" t="n">
        <v>600</v>
      </c>
      <c r="L7" t="inlineStr">
        <is>
          <t>chaos</t>
        </is>
      </c>
      <c r="M7" t="inlineStr">
        <is>
          <t>missile</t>
        </is>
      </c>
      <c r="N7" t="n">
        <v>54</v>
      </c>
      <c r="O7" t="n">
        <v>1</v>
      </c>
      <c r="P7" t="n">
        <v>3</v>
      </c>
      <c r="Q7" t="inlineStr">
        <is>
          <t>chaos</t>
        </is>
      </c>
      <c r="R7" t="inlineStr">
        <is>
          <t>hhou</t>
        </is>
      </c>
      <c r="AD7" t="n">
        <v>2</v>
      </c>
      <c r="AE7" s="2" t="n">
        <v>1500</v>
      </c>
      <c r="AF7" t="inlineStr">
        <is>
          <t>A03W,A028,Afra</t>
        </is>
      </c>
      <c r="AG7" t="inlineStr">
        <is>
          <t>Up g rade to Exiled Soul</t>
        </is>
      </c>
      <c r="AK7" t="inlineStr">
        <is>
          <t>Regeneration (A03W); Sell Tower (A028); Frost I (Afra)</t>
        </is>
      </c>
      <c r="AL7" s="2" t="n">
        <v>280</v>
      </c>
      <c r="AM7" s="3" t="n">
        <v>1</v>
      </c>
      <c r="AN7" s="2">
        <f>AL7*AM7</f>
        <v/>
      </c>
      <c r="AO7" s="2" t="n"/>
      <c r="AP7" s="2" t="n"/>
      <c r="AQ7" s="2">
        <f>AN7+N(AO7)+N(AP7)</f>
        <v/>
      </c>
      <c r="AR7" s="3">
        <f>IF(C7=0,"",AQ7/C7)</f>
        <v/>
      </c>
      <c r="AS7" s="3">
        <f>IF(C7=0,"",AR7*(K7/725))</f>
        <v/>
      </c>
      <c r="AT7" s="3">
        <f>(K7/725)^2</f>
        <v/>
      </c>
      <c r="AU7" s="3">
        <f>IF(C7=0,"",AR7*AT7)</f>
        <v/>
      </c>
      <c r="AV7" t="inlineStr">
        <is>
          <t>basic attack</t>
        </is>
      </c>
      <c r="AW7" t="inlineStr">
        <is>
          <t>map</t>
        </is>
      </c>
    </row>
    <row r="8">
      <c r="A8" t="inlineStr">
        <is>
          <t>h00H</t>
        </is>
      </c>
      <c r="B8" t="inlineStr">
        <is>
          <t>Footman</t>
        </is>
      </c>
      <c r="C8" t="n">
        <v>45</v>
      </c>
      <c r="D8" t="n">
        <v>0</v>
      </c>
      <c r="F8" t="n">
        <v>85</v>
      </c>
      <c r="G8" t="n">
        <v>89</v>
      </c>
      <c r="H8" t="n">
        <v>87</v>
      </c>
      <c r="I8" t="n">
        <v>0.3</v>
      </c>
      <c r="J8" t="n">
        <v>290</v>
      </c>
      <c r="K8" t="n">
        <v>125</v>
      </c>
      <c r="M8" t="inlineStr">
        <is>
          <t>normal</t>
        </is>
      </c>
      <c r="N8" t="n">
        <v>84</v>
      </c>
      <c r="O8" t="n">
        <v>1</v>
      </c>
      <c r="P8" t="n">
        <v>5</v>
      </c>
      <c r="Q8" t="inlineStr">
        <is>
          <t>normal</t>
        </is>
      </c>
      <c r="R8" t="inlineStr">
        <is>
          <t>hhou</t>
        </is>
      </c>
      <c r="AD8" t="n">
        <v>1</v>
      </c>
      <c r="AE8" s="2" t="n">
        <v>1250</v>
      </c>
      <c r="AF8" t="inlineStr">
        <is>
          <t>ANbh,A028</t>
        </is>
      </c>
      <c r="AG8" t="inlineStr">
        <is>
          <t>U pgrade to Footman</t>
        </is>
      </c>
      <c r="AK8" t="inlineStr">
        <is>
          <t>Bash I (ANbh); Sell Tower (A028)</t>
        </is>
      </c>
      <c r="AL8" s="2" t="n">
        <v>290</v>
      </c>
      <c r="AM8" s="3" t="n">
        <v>1</v>
      </c>
      <c r="AN8" s="2">
        <f>AL8*AM8</f>
        <v/>
      </c>
      <c r="AO8" s="2" t="n">
        <v>33.3</v>
      </c>
      <c r="AP8" s="2" t="n"/>
      <c r="AQ8" s="2">
        <f>AN8+N(AO8)+N(AP8)</f>
        <v/>
      </c>
      <c r="AR8" s="3">
        <f>IF(C8=0,"",AQ8/C8)</f>
        <v/>
      </c>
      <c r="AS8" s="3">
        <f>IF(C8=0,"",AR8*(K8/725))</f>
        <v/>
      </c>
      <c r="AT8" s="3">
        <f>(K8/725)^2</f>
        <v/>
      </c>
      <c r="AU8" s="3">
        <f>IF(C8=0,"",AR8*AT8)</f>
        <v/>
      </c>
      <c r="AV8" t="inlineStr">
        <is>
          <t>basic attack</t>
        </is>
      </c>
      <c r="AW8" t="inlineStr">
        <is>
          <t>map</t>
        </is>
      </c>
    </row>
    <row r="9">
      <c r="A9" t="inlineStr">
        <is>
          <t>h03O</t>
        </is>
      </c>
      <c r="B9" t="inlineStr">
        <is>
          <t>Heartseeker</t>
        </is>
      </c>
      <c r="C9" t="n">
        <v>45</v>
      </c>
      <c r="D9" t="n">
        <v>0</v>
      </c>
      <c r="F9" t="n">
        <v>23</v>
      </c>
      <c r="G9" t="n">
        <v>28</v>
      </c>
      <c r="H9" t="n">
        <v>25.5</v>
      </c>
      <c r="I9" t="n">
        <v>0.5</v>
      </c>
      <c r="J9" t="n">
        <v>51</v>
      </c>
      <c r="K9" t="n">
        <v>1150</v>
      </c>
      <c r="L9" t="inlineStr">
        <is>
          <t>chaos</t>
        </is>
      </c>
      <c r="M9" t="inlineStr">
        <is>
          <t>instant</t>
        </is>
      </c>
      <c r="N9" t="n">
        <v>22</v>
      </c>
      <c r="O9" t="n">
        <v>1</v>
      </c>
      <c r="P9" t="n">
        <v>6</v>
      </c>
      <c r="Q9" t="inlineStr">
        <is>
          <t>chaos</t>
        </is>
      </c>
      <c r="R9" t="inlineStr">
        <is>
          <t>hhou</t>
        </is>
      </c>
      <c r="AD9" t="n">
        <v>2</v>
      </c>
      <c r="AE9" s="2" t="n">
        <v>1500</v>
      </c>
      <c r="AF9" t="inlineStr">
        <is>
          <t>Afbb,Aabr,AIva,A01E,A028</t>
        </is>
      </c>
      <c r="AG9" t="inlineStr">
        <is>
          <t>U pgrade to Heartseeker</t>
        </is>
      </c>
      <c r="AK9" t="inlineStr">
        <is>
          <t>Sunder Armor (Afbb); (Dummy Ability - Life Steal) (Aabr); AIva (AIva); Versatile Critical Strike II (A01E); Sell Tower (A028)</t>
        </is>
      </c>
      <c r="AL9" s="2" t="n">
        <v>51</v>
      </c>
      <c r="AM9" s="3" t="n">
        <v>2.05</v>
      </c>
      <c r="AN9" s="2">
        <f>AL9*AM9</f>
        <v/>
      </c>
      <c r="AO9" s="2" t="n"/>
      <c r="AP9" s="2" t="n"/>
      <c r="AQ9" s="2">
        <f>AN9+N(AO9)+N(AP9)</f>
        <v/>
      </c>
      <c r="AR9" s="3">
        <f>IF(C9=0,"",AQ9/C9)</f>
        <v/>
      </c>
      <c r="AS9" s="3">
        <f>IF(C9=0,"",AR9*(K9/725))</f>
        <v/>
      </c>
      <c r="AT9" s="3">
        <f>(K9/725)^2</f>
        <v/>
      </c>
      <c r="AU9" s="3">
        <f>IF(C9=0,"",AR9*AT9)</f>
        <v/>
      </c>
      <c r="AV9" t="inlineStr">
        <is>
          <t>basic attack</t>
        </is>
      </c>
      <c r="AW9" t="inlineStr">
        <is>
          <t>map</t>
        </is>
      </c>
    </row>
    <row r="10">
      <c r="A10" t="inlineStr">
        <is>
          <t>h048</t>
        </is>
      </c>
      <c r="B10" t="inlineStr">
        <is>
          <t>Krotas</t>
        </is>
      </c>
      <c r="C10" t="n">
        <v>1325</v>
      </c>
      <c r="D10" t="n">
        <v>0</v>
      </c>
      <c r="E10" t="n">
        <v>1</v>
      </c>
      <c r="F10" t="n">
        <v>851</v>
      </c>
      <c r="G10" t="n">
        <v>858</v>
      </c>
      <c r="H10" t="n">
        <v>854.5</v>
      </c>
      <c r="I10" t="n">
        <v>0.33</v>
      </c>
      <c r="J10" t="n">
        <v>2589.4</v>
      </c>
      <c r="K10" t="n">
        <v>1500</v>
      </c>
      <c r="L10" t="inlineStr">
        <is>
          <t>chaos</t>
        </is>
      </c>
      <c r="M10" t="inlineStr">
        <is>
          <t>missile</t>
        </is>
      </c>
      <c r="N10" t="n">
        <v>850</v>
      </c>
      <c r="O10" t="n">
        <v>1</v>
      </c>
      <c r="P10" t="n">
        <v>8</v>
      </c>
      <c r="Q10" t="inlineStr">
        <is>
          <t>chaos</t>
        </is>
      </c>
      <c r="R10" t="inlineStr">
        <is>
          <t>hhou</t>
        </is>
      </c>
      <c r="AE10" s="2" t="n">
        <v>2500</v>
      </c>
      <c r="AF10" t="inlineStr">
        <is>
          <t>ANcl,A004,A02X,A014,A028</t>
        </is>
      </c>
      <c r="AG10" t="inlineStr">
        <is>
          <t>Up g rade to Krotas - 1325</t>
        </is>
      </c>
      <c r="AK10" t="inlineStr">
        <is>
          <t>Activate / Deactivate Mana Detection (ANcl); Versatile Critical Strike I (A004); Gooify (A02X); Combustion (A014); Sell Tower (A028)</t>
        </is>
      </c>
      <c r="AL10" s="2" t="n">
        <v>2589.4</v>
      </c>
      <c r="AM10" s="3" t="n">
        <v>1.52</v>
      </c>
      <c r="AN10" s="2">
        <f>AL10*AM10</f>
        <v/>
      </c>
      <c r="AO10" s="2" t="n"/>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h047</t>
        </is>
      </c>
      <c r="B11" t="inlineStr">
        <is>
          <t>Von Chillspeak</t>
        </is>
      </c>
      <c r="C11" t="n">
        <v>1225</v>
      </c>
      <c r="D11" t="n">
        <v>0</v>
      </c>
      <c r="E11" t="n">
        <v>1</v>
      </c>
      <c r="F11" t="n">
        <v>12000</v>
      </c>
      <c r="G11" t="n">
        <v>12000</v>
      </c>
      <c r="H11" t="n">
        <v>12000</v>
      </c>
      <c r="I11" t="n">
        <v>2</v>
      </c>
      <c r="J11" t="n">
        <v>6000</v>
      </c>
      <c r="K11" t="n">
        <v>1150</v>
      </c>
      <c r="L11" t="inlineStr">
        <is>
          <t>chaos</t>
        </is>
      </c>
      <c r="M11" t="inlineStr">
        <is>
          <t>missile</t>
        </is>
      </c>
      <c r="N11" t="n">
        <v>11999</v>
      </c>
      <c r="O11" t="n">
        <v>1</v>
      </c>
      <c r="P11" t="n">
        <v>1</v>
      </c>
      <c r="Q11" t="inlineStr">
        <is>
          <t>chaos</t>
        </is>
      </c>
      <c r="R11" t="inlineStr">
        <is>
          <t>hhou</t>
        </is>
      </c>
      <c r="AE11" s="2" t="n">
        <v>2500</v>
      </c>
      <c r="AF11" t="inlineStr">
        <is>
          <t>ANcl,Afrz,Aap1,AIm2,A028</t>
        </is>
      </c>
      <c r="AG11" t="inlineStr">
        <is>
          <t>U pgrade to Von Chillspeak - 1225</t>
        </is>
      </c>
      <c r="AK11" t="inlineStr">
        <is>
          <t>Activate / Deactivate Mana Detection (ANcl); Stone Cold (Afrz); Grounding Curse (Aap1); Cold Snap (AIm2); Sell Tower (A028)</t>
        </is>
      </c>
      <c r="AL11" s="2" t="n">
        <v>6000</v>
      </c>
      <c r="AM11" s="3" t="n">
        <v>1</v>
      </c>
      <c r="AN11" s="2">
        <f>AL11*AM11</f>
        <v/>
      </c>
      <c r="AO11" s="2" t="n"/>
      <c r="AP11" s="2" t="n">
        <v>1000</v>
      </c>
      <c r="AQ11" s="2">
        <f>AN11+N(AO11)+N(AP11)</f>
        <v/>
      </c>
      <c r="AR11" s="3">
        <f>IF(C11=0,"",AQ11/C11)</f>
        <v/>
      </c>
      <c r="AS11" s="3">
        <f>IF(C11=0,"",AR11*(K11/725))</f>
        <v/>
      </c>
      <c r="AT11" s="3">
        <f>(K11/725)^2</f>
        <v/>
      </c>
      <c r="AU11" s="3">
        <f>IF(C11=0,"",AR11*AT11)</f>
        <v/>
      </c>
      <c r="AV11" t="inlineStr">
        <is>
          <t>basic attack</t>
        </is>
      </c>
      <c r="AW11" t="inlineStr">
        <is>
          <t>map</t>
        </is>
      </c>
    </row>
  </sheetData>
  <autoFilter ref="A1:AY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D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 width="14" customWidth="1" min="49" max="49"/>
    <col width="10" customWidth="1" min="50" max="50"/>
    <col width="13" customWidth="1" min="51" max="51"/>
    <col width="31" customWidth="1" min="52" max="52"/>
    <col width="31" customWidth="1" min="53" max="53"/>
    <col width="14" customWidth="1" min="54" max="54"/>
    <col width="15" customWidth="1" min="55" max="55"/>
    <col width="12" customWidth="1" min="56" max="5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c r="BA1" s="1" t="inlineStr">
        <is>
          <t>atk1_targets</t>
        </is>
      </c>
      <c r="BB1" s="1" t="inlineStr">
        <is>
          <t>atk2_targets</t>
        </is>
      </c>
      <c r="BC1" s="1" t="inlineStr">
        <is>
          <t>dps_vs_ground</t>
        </is>
      </c>
      <c r="BD1" s="1" t="inlineStr">
        <is>
          <t>dps_vs_air</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c r="AW2" t="n">
        <v>1</v>
      </c>
      <c r="AX2" t="inlineStr">
        <is>
          <t>yes</t>
        </is>
      </c>
      <c r="AY2" t="inlineStr">
        <is>
          <t>yes</t>
        </is>
      </c>
      <c r="AZ2" t="inlineStr">
        <is>
          <t>air,enemies,ground,nonancient</t>
        </is>
      </c>
      <c r="BA2" t="inlineStr">
        <is>
          <t>air,enemies,ground,nonancient</t>
        </is>
      </c>
      <c r="BC2" t="n">
        <v>46.8</v>
      </c>
      <c r="BD2" t="n">
        <v>46.8</v>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c r="AW3" t="n">
        <v>1</v>
      </c>
      <c r="AX3" t="inlineStr">
        <is>
          <t>yes</t>
        </is>
      </c>
      <c r="AY3" t="inlineStr">
        <is>
          <t>yes</t>
        </is>
      </c>
      <c r="AZ3" t="inlineStr">
        <is>
          <t>air,enemies,ground,nonancient</t>
        </is>
      </c>
      <c r="BA3" t="inlineStr">
        <is>
          <t>air,enemies,ground,nonancient</t>
        </is>
      </c>
      <c r="BC3" t="n">
        <v>345</v>
      </c>
      <c r="BD3" t="n">
        <v>345</v>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c r="AW4" t="n">
        <v>1</v>
      </c>
      <c r="AX4" t="inlineStr">
        <is>
          <t>yes</t>
        </is>
      </c>
      <c r="AY4" t="inlineStr">
        <is>
          <t>yes</t>
        </is>
      </c>
      <c r="AZ4" t="inlineStr">
        <is>
          <t>air,enemies,ground,nonancient</t>
        </is>
      </c>
      <c r="BA4" t="inlineStr">
        <is>
          <t>air,enemies,ground,nonancient</t>
        </is>
      </c>
      <c r="BC4" t="n">
        <v>142.5</v>
      </c>
      <c r="BD4" t="n">
        <v>142.5</v>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c r="AW5" t="n">
        <v>1</v>
      </c>
      <c r="AX5" t="inlineStr">
        <is>
          <t>yes</t>
        </is>
      </c>
      <c r="AY5" t="inlineStr">
        <is>
          <t>yes</t>
        </is>
      </c>
      <c r="AZ5" t="inlineStr">
        <is>
          <t>air,enemies,ground,nonancient</t>
        </is>
      </c>
      <c r="BA5" t="inlineStr">
        <is>
          <t>air,enemies,ground,nonancient</t>
        </is>
      </c>
      <c r="BC5" t="n">
        <v>1252.1</v>
      </c>
      <c r="BD5" t="n">
        <v>1252.1</v>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c r="AW6" t="n">
        <v>1</v>
      </c>
      <c r="AX6" t="inlineStr">
        <is>
          <t>yes</t>
        </is>
      </c>
      <c r="AY6" t="inlineStr">
        <is>
          <t>yes</t>
        </is>
      </c>
      <c r="AZ6" t="inlineStr">
        <is>
          <t>air,enemies,ground,nonancient</t>
        </is>
      </c>
      <c r="BA6" t="inlineStr">
        <is>
          <t>air,enemies,ground,nonancient</t>
        </is>
      </c>
      <c r="BC6" t="n">
        <v>274</v>
      </c>
      <c r="BD6" t="n">
        <v>274</v>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c r="AW7" t="n">
        <v>1</v>
      </c>
      <c r="AX7" t="inlineStr">
        <is>
          <t>yes</t>
        </is>
      </c>
      <c r="AY7" t="inlineStr">
        <is>
          <t>yes</t>
        </is>
      </c>
      <c r="AZ7" t="inlineStr">
        <is>
          <t>air,enemies,ground,nonancient</t>
        </is>
      </c>
      <c r="BA7" t="inlineStr">
        <is>
          <t>air,enemies,ground,nonancient</t>
        </is>
      </c>
      <c r="BC7" t="n">
        <v>1007</v>
      </c>
      <c r="BD7" t="n">
        <v>1007</v>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c r="AW8" t="n">
        <v>1</v>
      </c>
      <c r="AX8" t="inlineStr">
        <is>
          <t>yes</t>
        </is>
      </c>
      <c r="AY8" t="inlineStr">
        <is>
          <t>yes</t>
        </is>
      </c>
      <c r="AZ8" t="inlineStr">
        <is>
          <t>air,enemies,ground,nonancient</t>
        </is>
      </c>
      <c r="BA8" t="inlineStr">
        <is>
          <t>air,enemies,ground,nonancient</t>
        </is>
      </c>
      <c r="BC8" t="n">
        <v>2536.9</v>
      </c>
      <c r="BD8" t="n">
        <v>2536.9</v>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c r="AW9" t="n">
        <v>1</v>
      </c>
      <c r="AX9" t="inlineStr">
        <is>
          <t>yes</t>
        </is>
      </c>
      <c r="AY9" t="inlineStr">
        <is>
          <t>yes</t>
        </is>
      </c>
      <c r="AZ9" t="inlineStr">
        <is>
          <t>air,enemies,ground,nonancient</t>
        </is>
      </c>
      <c r="BA9" t="inlineStr">
        <is>
          <t>air,enemies,ground,nonancient</t>
        </is>
      </c>
      <c r="BC9" t="n">
        <v>113</v>
      </c>
      <c r="BD9" t="n">
        <v>113</v>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c r="AW10" t="n">
        <v>1</v>
      </c>
      <c r="AX10" t="inlineStr">
        <is>
          <t>yes</t>
        </is>
      </c>
      <c r="AY10" t="inlineStr">
        <is>
          <t>yes</t>
        </is>
      </c>
      <c r="AZ10" t="inlineStr">
        <is>
          <t>air,enemies,ground,nonancient</t>
        </is>
      </c>
      <c r="BA10" t="inlineStr">
        <is>
          <t>air,enemies,ground,nonancient</t>
        </is>
      </c>
      <c r="BC10" t="n">
        <v>542.5</v>
      </c>
      <c r="BD10" t="n">
        <v>542.5</v>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c r="BA11" t="inlineStr">
        <is>
          <t>air,enemies,ground,nonancient</t>
        </is>
      </c>
      <c r="BC11" t="n">
        <v>3362.1</v>
      </c>
      <c r="BD11" t="n">
        <v>3362.1</v>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c r="AW12" t="n">
        <v>1</v>
      </c>
      <c r="AX12" t="inlineStr">
        <is>
          <t>yes</t>
        </is>
      </c>
      <c r="AY12" t="inlineStr">
        <is>
          <t>yes</t>
        </is>
      </c>
      <c r="AZ12" t="inlineStr">
        <is>
          <t>air,enemies,ground,nonancient</t>
        </is>
      </c>
      <c r="BA12" t="inlineStr">
        <is>
          <t>air,enemies,ground,nonancient</t>
        </is>
      </c>
      <c r="BC12" t="n">
        <v>322.2</v>
      </c>
      <c r="BD12" t="n">
        <v>322.2</v>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c r="AW13" t="n">
        <v>1</v>
      </c>
      <c r="AX13" t="inlineStr">
        <is>
          <t>yes</t>
        </is>
      </c>
      <c r="AY13" t="inlineStr">
        <is>
          <t>yes</t>
        </is>
      </c>
      <c r="AZ13" t="inlineStr">
        <is>
          <t>air,enemies,ground,nonancient</t>
        </is>
      </c>
      <c r="BA13" t="inlineStr">
        <is>
          <t>air,enemies,ground,nonancient</t>
        </is>
      </c>
      <c r="BC13" t="n">
        <v>1064.4</v>
      </c>
      <c r="BD13" t="n">
        <v>1064.4</v>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c r="AW14" t="n">
        <v>1</v>
      </c>
      <c r="AX14" t="inlineStr">
        <is>
          <t>yes</t>
        </is>
      </c>
      <c r="AY14" t="inlineStr">
        <is>
          <t>yes</t>
        </is>
      </c>
      <c r="AZ14" t="inlineStr">
        <is>
          <t>air,enemies,ground,nonancient</t>
        </is>
      </c>
      <c r="BA14" t="inlineStr">
        <is>
          <t>air,enemies,ground,nonancient</t>
        </is>
      </c>
      <c r="BC14" t="n">
        <v>975</v>
      </c>
      <c r="BD14" t="n">
        <v>975</v>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c r="AW15" t="n">
        <v>1</v>
      </c>
      <c r="AX15" t="inlineStr">
        <is>
          <t>yes</t>
        </is>
      </c>
      <c r="AY15" t="inlineStr">
        <is>
          <t>yes</t>
        </is>
      </c>
      <c r="AZ15" t="inlineStr">
        <is>
          <t>air,enemies,ground,nonancient</t>
        </is>
      </c>
      <c r="BA15" t="inlineStr">
        <is>
          <t>air,enemies,ground,nonancient</t>
        </is>
      </c>
      <c r="BC15" t="n">
        <v>689.3</v>
      </c>
      <c r="BD15" t="n">
        <v>689.3</v>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c r="AW16" t="n">
        <v>1</v>
      </c>
      <c r="AX16" t="inlineStr">
        <is>
          <t>yes</t>
        </is>
      </c>
      <c r="AY16" t="inlineStr">
        <is>
          <t>yes</t>
        </is>
      </c>
      <c r="AZ16" t="inlineStr">
        <is>
          <t>air,enemies,ground,nonancient</t>
        </is>
      </c>
      <c r="BA16" t="inlineStr">
        <is>
          <t>air,enemies,ground,nonancient</t>
        </is>
      </c>
      <c r="BC16" t="n">
        <v>1883.4</v>
      </c>
      <c r="BD16" t="n">
        <v>1883.4</v>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c r="AW17" t="n">
        <v>1</v>
      </c>
      <c r="AX17" t="inlineStr">
        <is>
          <t>yes</t>
        </is>
      </c>
      <c r="AY17" t="inlineStr">
        <is>
          <t>yes</t>
        </is>
      </c>
      <c r="AZ17" t="inlineStr">
        <is>
          <t>air,enemies,ground,nonancient</t>
        </is>
      </c>
      <c r="BA17" t="inlineStr">
        <is>
          <t>air,enemies,ground,nonancient</t>
        </is>
      </c>
      <c r="BC17" t="n">
        <v>4874.8</v>
      </c>
      <c r="BD17" t="n">
        <v>4874.8</v>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c r="AW18" t="n">
        <v>1</v>
      </c>
      <c r="AX18" t="inlineStr">
        <is>
          <t>yes</t>
        </is>
      </c>
      <c r="AY18" t="inlineStr">
        <is>
          <t>yes</t>
        </is>
      </c>
      <c r="AZ18" t="inlineStr">
        <is>
          <t>air,enemies,ground,nonancient</t>
        </is>
      </c>
      <c r="BA18" t="inlineStr">
        <is>
          <t>air,enemies,ground,nonancient</t>
        </is>
      </c>
      <c r="BC18" t="n">
        <v>14960.4</v>
      </c>
      <c r="BD18" t="n">
        <v>14960.4</v>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c r="AW19" t="n">
        <v>1</v>
      </c>
      <c r="AX19" t="inlineStr">
        <is>
          <t>yes</t>
        </is>
      </c>
      <c r="AY19" t="inlineStr">
        <is>
          <t>yes</t>
        </is>
      </c>
      <c r="AZ19" t="inlineStr">
        <is>
          <t>air,enemies,ground,nonancient</t>
        </is>
      </c>
      <c r="BA19" t="inlineStr">
        <is>
          <t>air,enemies,ground,nonancient</t>
        </is>
      </c>
      <c r="BC19" t="n">
        <v>4041.3</v>
      </c>
      <c r="BD19" t="n">
        <v>4041.3</v>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c r="AW20" t="n">
        <v>1</v>
      </c>
      <c r="AX20" t="inlineStr">
        <is>
          <t>yes</t>
        </is>
      </c>
      <c r="AY20" t="inlineStr">
        <is>
          <t>yes</t>
        </is>
      </c>
      <c r="AZ20" t="inlineStr">
        <is>
          <t>air,enemies,ground,nonancient</t>
        </is>
      </c>
      <c r="BA20" t="inlineStr">
        <is>
          <t>air,enemies,ground,nonancient</t>
        </is>
      </c>
      <c r="BC20" t="n">
        <v>6926.1</v>
      </c>
      <c r="BD20" t="n">
        <v>6926.1</v>
      </c>
    </row>
  </sheetData>
  <autoFilter ref="A1:BD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K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21" customWidth="1" min="55" max="55"/>
    <col width="14" customWidth="1" min="56" max="56"/>
    <col width="10" customWidth="1" min="57" max="57"/>
    <col width="13" customWidth="1" min="58" max="58"/>
    <col width="31" customWidth="1" min="59" max="59"/>
    <col width="31" customWidth="1" min="60" max="60"/>
    <col width="24" customWidth="1" min="61" max="61"/>
    <col width="15" customWidth="1" min="62" max="62"/>
    <col width="12" customWidth="1" min="63" max="6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hand_capture_name</t>
        </is>
      </c>
      <c r="BD1" s="1" t="inlineStr">
        <is>
          <t>attack_count</t>
        </is>
      </c>
      <c r="BE1" s="1" t="inlineStr">
        <is>
          <t>hits_air</t>
        </is>
      </c>
      <c r="BF1" s="1" t="inlineStr">
        <is>
          <t>hits_ground</t>
        </is>
      </c>
      <c r="BG1" s="1" t="inlineStr">
        <is>
          <t>targets_all</t>
        </is>
      </c>
      <c r="BH1" s="1" t="inlineStr">
        <is>
          <t>atk1_targets</t>
        </is>
      </c>
      <c r="BI1" s="1" t="inlineStr">
        <is>
          <t>atk2_targets</t>
        </is>
      </c>
      <c r="BJ1" s="1" t="inlineStr">
        <is>
          <t>dps_vs_ground</t>
        </is>
      </c>
      <c r="BK1" s="1" t="inlineStr">
        <is>
          <t>dps_vs_air</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N2" t="inlineStr">
        <is>
          <t>observed</t>
        </is>
      </c>
      <c r="AP2"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c r="BC2" t="inlineStr">
        <is>
          <t>Grayson Fort Buster</t>
        </is>
      </c>
      <c r="BD2" t="n">
        <v>1</v>
      </c>
      <c r="BE2" t="inlineStr">
        <is>
          <t>yes</t>
        </is>
      </c>
      <c r="BF2" t="inlineStr">
        <is>
          <t>yes</t>
        </is>
      </c>
      <c r="BG2" t="inlineStr">
        <is>
          <t>air,enemies,ground,nonancient</t>
        </is>
      </c>
      <c r="BH2" t="inlineStr">
        <is>
          <t>air,enemies,ground,nonancient</t>
        </is>
      </c>
      <c r="BJ2" t="n">
        <v>2147.1</v>
      </c>
      <c r="BK2" t="n">
        <v>2147.1</v>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c r="BD3" t="n">
        <v>1</v>
      </c>
      <c r="BE3" t="inlineStr">
        <is>
          <t>yes</t>
        </is>
      </c>
      <c r="BF3" t="inlineStr">
        <is>
          <t>yes</t>
        </is>
      </c>
      <c r="BG3" t="inlineStr">
        <is>
          <t>air,enemies,ground,nonancient</t>
        </is>
      </c>
      <c r="BH3" t="inlineStr">
        <is>
          <t>air,enemies,ground,nonancient</t>
        </is>
      </c>
      <c r="BJ3" t="n">
        <v>158.6</v>
      </c>
      <c r="BK3" t="n">
        <v>158.6</v>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map</t>
        </is>
      </c>
      <c r="BD4" t="n">
        <v>1</v>
      </c>
      <c r="BE4" t="inlineStr">
        <is>
          <t>yes</t>
        </is>
      </c>
      <c r="BF4" t="inlineStr">
        <is>
          <t>yes</t>
        </is>
      </c>
      <c r="BG4" t="inlineStr">
        <is>
          <t>air,enemies,ground,nonancient</t>
        </is>
      </c>
      <c r="BH4" t="inlineStr">
        <is>
          <t>air,enemies,ground,nonancient</t>
        </is>
      </c>
      <c r="BJ4" t="n">
        <v>380.7</v>
      </c>
      <c r="BK4" t="n">
        <v>380.7</v>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N5" t="inlineStr">
        <is>
          <t>observed</t>
        </is>
      </c>
      <c r="AO5" t="inlineStr">
        <is>
          <t>D3</t>
        </is>
      </c>
      <c r="AP5"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c r="BC5" t="inlineStr">
        <is>
          <t>Tyr Spirit</t>
        </is>
      </c>
      <c r="BD5" t="n">
        <v>1</v>
      </c>
      <c r="BE5" t="inlineStr">
        <is>
          <t>yes</t>
        </is>
      </c>
      <c r="BF5" t="inlineStr">
        <is>
          <t>yes</t>
        </is>
      </c>
      <c r="BG5" t="inlineStr">
        <is>
          <t>air,enemies,ground,nonancient</t>
        </is>
      </c>
      <c r="BH5" t="inlineStr">
        <is>
          <t>air,enemies,ground,nonancient</t>
        </is>
      </c>
      <c r="BJ5" t="n">
        <v>412</v>
      </c>
      <c r="BK5" t="n">
        <v>412</v>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c r="BD6" t="n">
        <v>1</v>
      </c>
      <c r="BE6" t="inlineStr">
        <is>
          <t>yes</t>
        </is>
      </c>
      <c r="BF6" t="inlineStr">
        <is>
          <t>yes</t>
        </is>
      </c>
      <c r="BG6" t="inlineStr">
        <is>
          <t>air,enemies,ground,nonancient</t>
        </is>
      </c>
      <c r="BH6" t="inlineStr">
        <is>
          <t>air,enemies,ground,nonancient</t>
        </is>
      </c>
      <c r="BJ6" t="n">
        <v>1580</v>
      </c>
      <c r="BK6" t="n">
        <v>1580</v>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N7" t="inlineStr">
        <is>
          <t>observed</t>
        </is>
      </c>
      <c r="AP7"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c r="BC7" t="inlineStr">
        <is>
          <t>Peepy Bronzebeard</t>
        </is>
      </c>
      <c r="BD7" t="n">
        <v>1</v>
      </c>
      <c r="BE7" t="inlineStr">
        <is>
          <t>yes</t>
        </is>
      </c>
      <c r="BF7" t="inlineStr">
        <is>
          <t>yes</t>
        </is>
      </c>
      <c r="BG7" t="inlineStr">
        <is>
          <t>air,enemies,ground,nonancient</t>
        </is>
      </c>
      <c r="BH7" t="inlineStr">
        <is>
          <t>air,enemies,ground,nonancient</t>
        </is>
      </c>
      <c r="BJ7" t="n">
        <v>1735</v>
      </c>
      <c r="BK7" t="n">
        <v>1735</v>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c r="BD8" t="n">
        <v>2</v>
      </c>
      <c r="BE8" t="inlineStr">
        <is>
          <t>yes</t>
        </is>
      </c>
      <c r="BF8" t="inlineStr">
        <is>
          <t>yes</t>
        </is>
      </c>
      <c r="BG8" t="inlineStr">
        <is>
          <t>air,enemies,ground,nonancient</t>
        </is>
      </c>
      <c r="BH8" t="inlineStr">
        <is>
          <t>enemies,ground,nonancient</t>
        </is>
      </c>
      <c r="BI8" t="inlineStr">
        <is>
          <t>air,enemies,nonancient</t>
        </is>
      </c>
      <c r="BJ8" t="n">
        <v>4322.2</v>
      </c>
      <c r="BK8" t="n">
        <v>4823.5</v>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c r="BD9" t="n">
        <v>1</v>
      </c>
      <c r="BE9" t="inlineStr">
        <is>
          <t>yes</t>
        </is>
      </c>
      <c r="BF9" t="inlineStr">
        <is>
          <t>yes</t>
        </is>
      </c>
      <c r="BG9" t="inlineStr">
        <is>
          <t>air,enemies,ground,nonancient</t>
        </is>
      </c>
      <c r="BH9" t="inlineStr">
        <is>
          <t>air,enemies,ground,nonancient</t>
        </is>
      </c>
      <c r="BJ9" t="n">
        <v>158.2</v>
      </c>
      <c r="BK9" t="n">
        <v>158.2</v>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c r="BD10" t="n">
        <v>1</v>
      </c>
      <c r="BE10" t="inlineStr">
        <is>
          <t>yes</t>
        </is>
      </c>
      <c r="BF10" t="inlineStr">
        <is>
          <t>yes</t>
        </is>
      </c>
      <c r="BG10" t="inlineStr">
        <is>
          <t>air,enemies,ground,nonancient</t>
        </is>
      </c>
      <c r="BH10" t="inlineStr">
        <is>
          <t>air,enemies,ground,nonancient</t>
        </is>
      </c>
      <c r="BJ10" t="n">
        <v>521.9</v>
      </c>
      <c r="BK10" t="n">
        <v>521.9</v>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c r="BD11" t="n">
        <v>1</v>
      </c>
      <c r="BE11" t="inlineStr">
        <is>
          <t>yes</t>
        </is>
      </c>
      <c r="BF11" t="inlineStr">
        <is>
          <t>yes</t>
        </is>
      </c>
      <c r="BG11" t="inlineStr">
        <is>
          <t>air,enemies,ground,nonancient</t>
        </is>
      </c>
      <c r="BH11" t="inlineStr">
        <is>
          <t>air,enemies,ground,nonancient</t>
        </is>
      </c>
      <c r="BJ11" t="n">
        <v>1733.5</v>
      </c>
      <c r="BK11" t="n">
        <v>1733.5</v>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c r="BD12" t="n">
        <v>1</v>
      </c>
      <c r="BE12" t="inlineStr">
        <is>
          <t>yes</t>
        </is>
      </c>
      <c r="BF12" t="inlineStr">
        <is>
          <t>yes</t>
        </is>
      </c>
      <c r="BG12" t="inlineStr">
        <is>
          <t>air,enemies,ground,nonancient</t>
        </is>
      </c>
      <c r="BH12" t="inlineStr">
        <is>
          <t>air,enemies,ground,nonancient</t>
        </is>
      </c>
      <c r="BJ12" t="n">
        <v>7063</v>
      </c>
      <c r="BK12" t="n">
        <v>7063</v>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N13" t="inlineStr">
        <is>
          <t>observed</t>
        </is>
      </c>
      <c r="AP13"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c r="BC13" t="inlineStr">
        <is>
          <t>Petrified Shell</t>
        </is>
      </c>
      <c r="BD13" t="n">
        <v>1</v>
      </c>
      <c r="BE13" t="inlineStr">
        <is>
          <t>yes</t>
        </is>
      </c>
      <c r="BF13" t="inlineStr">
        <is>
          <t>yes</t>
        </is>
      </c>
      <c r="BG13" t="inlineStr">
        <is>
          <t>air,enemies,ground,nonancient</t>
        </is>
      </c>
      <c r="BH13" t="inlineStr">
        <is>
          <t>air,enemies,ground,nonancient</t>
        </is>
      </c>
      <c r="BJ13" t="n">
        <v>600</v>
      </c>
      <c r="BK13" t="n">
        <v>600</v>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c r="BD14" t="n">
        <v>1</v>
      </c>
      <c r="BE14" t="inlineStr">
        <is>
          <t>yes</t>
        </is>
      </c>
      <c r="BF14" t="inlineStr">
        <is>
          <t>yes</t>
        </is>
      </c>
      <c r="BG14" t="inlineStr">
        <is>
          <t>air,enemies,ground,nonancient</t>
        </is>
      </c>
      <c r="BH14" t="inlineStr">
        <is>
          <t>air,enemies,ground,nonancient</t>
        </is>
      </c>
      <c r="BJ14" t="n">
        <v>2677.3</v>
      </c>
      <c r="BK14" t="n">
        <v>2677.3</v>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c r="BD15" t="n">
        <v>1</v>
      </c>
      <c r="BE15" t="inlineStr">
        <is>
          <t>yes</t>
        </is>
      </c>
      <c r="BF15" t="inlineStr">
        <is>
          <t>yes</t>
        </is>
      </c>
      <c r="BG15" t="inlineStr">
        <is>
          <t>air,enemies,ground,nonancient</t>
        </is>
      </c>
      <c r="BH15" t="inlineStr">
        <is>
          <t>air,enemies,ground,nonancient</t>
        </is>
      </c>
      <c r="BJ15" t="n">
        <v>324</v>
      </c>
      <c r="BK15" t="n">
        <v>324</v>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c r="BD16" t="n">
        <v>1</v>
      </c>
      <c r="BE16" t="inlineStr">
        <is>
          <t>yes</t>
        </is>
      </c>
      <c r="BF16" t="inlineStr">
        <is>
          <t>yes</t>
        </is>
      </c>
      <c r="BG16" t="inlineStr">
        <is>
          <t>air,enemies,ground,nonancient</t>
        </is>
      </c>
      <c r="BH16" t="inlineStr">
        <is>
          <t>air,enemies,ground,nonancient</t>
        </is>
      </c>
      <c r="BJ16" t="n">
        <v>1247.9</v>
      </c>
      <c r="BK16" t="n">
        <v>1247.9</v>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c r="BD17" t="n">
        <v>1</v>
      </c>
      <c r="BE17" t="inlineStr">
        <is>
          <t>yes</t>
        </is>
      </c>
      <c r="BF17" t="inlineStr">
        <is>
          <t>yes</t>
        </is>
      </c>
      <c r="BG17" t="inlineStr">
        <is>
          <t>air,enemies,ground,nonancient</t>
        </is>
      </c>
      <c r="BH17" t="inlineStr">
        <is>
          <t>air,enemies,ground,nonancient</t>
        </is>
      </c>
      <c r="BJ17" t="n">
        <v>1193.5</v>
      </c>
      <c r="BK17" t="n">
        <v>1193.5</v>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c r="BD18" t="n">
        <v>1</v>
      </c>
      <c r="BE18" t="inlineStr">
        <is>
          <t>yes</t>
        </is>
      </c>
      <c r="BF18" t="inlineStr">
        <is>
          <t>yes</t>
        </is>
      </c>
      <c r="BG18" t="inlineStr">
        <is>
          <t>air,enemies,ground,nonancient</t>
        </is>
      </c>
      <c r="BH18" t="inlineStr">
        <is>
          <t>air,enemies,ground,nonancient</t>
        </is>
      </c>
      <c r="BJ18" t="n">
        <v>4068.7</v>
      </c>
      <c r="BK18" t="n">
        <v>4068.7</v>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c r="BD19" t="n">
        <v>1</v>
      </c>
      <c r="BE19" t="inlineStr">
        <is>
          <t>yes</t>
        </is>
      </c>
      <c r="BF19" t="inlineStr">
        <is>
          <t>yes</t>
        </is>
      </c>
      <c r="BG19" t="inlineStr">
        <is>
          <t>air,enemies,ground,nonancient</t>
        </is>
      </c>
      <c r="BH19" t="inlineStr">
        <is>
          <t>air,enemies,ground,nonancient</t>
        </is>
      </c>
      <c r="BJ19" t="n">
        <v>4268.8</v>
      </c>
      <c r="BK19" t="n">
        <v>4268.8</v>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c r="BD20" t="n">
        <v>1</v>
      </c>
      <c r="BE20" t="inlineStr">
        <is>
          <t>yes</t>
        </is>
      </c>
      <c r="BF20" t="inlineStr">
        <is>
          <t>yes</t>
        </is>
      </c>
      <c r="BG20" t="inlineStr">
        <is>
          <t>air,enemies,ground,nonancient</t>
        </is>
      </c>
      <c r="BH20" t="inlineStr">
        <is>
          <t>air,enemies,ground,nonancient</t>
        </is>
      </c>
      <c r="BJ20" t="n">
        <v>5005.6</v>
      </c>
      <c r="BK20" t="n">
        <v>5005.6</v>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N21" t="inlineStr">
        <is>
          <t>observed</t>
        </is>
      </c>
      <c r="AP21"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inlineStr">
        <is>
          <t>Lilliana May</t>
        </is>
      </c>
      <c r="BD21" t="n">
        <v>1</v>
      </c>
      <c r="BE21" t="inlineStr">
        <is>
          <t>yes</t>
        </is>
      </c>
      <c r="BF21" t="inlineStr">
        <is>
          <t>yes</t>
        </is>
      </c>
      <c r="BG21" t="inlineStr">
        <is>
          <t>air,enemies,ground,nonancient</t>
        </is>
      </c>
      <c r="BH21" t="inlineStr">
        <is>
          <t>air,enemies,ground,nonancient</t>
        </is>
      </c>
      <c r="BJ21" t="n">
        <v>4910</v>
      </c>
      <c r="BK21" t="n">
        <v>4910</v>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c r="BD22" t="n">
        <v>2</v>
      </c>
      <c r="BE22" t="inlineStr">
        <is>
          <t>yes</t>
        </is>
      </c>
      <c r="BF22" t="inlineStr">
        <is>
          <t>yes</t>
        </is>
      </c>
      <c r="BG22" t="inlineStr">
        <is>
          <t>air,enemies,ground,nonancient</t>
        </is>
      </c>
      <c r="BH22" t="inlineStr">
        <is>
          <t>enemies,ground,nonancient</t>
        </is>
      </c>
      <c r="BI22" t="inlineStr">
        <is>
          <t>air,enemies,nonancient</t>
        </is>
      </c>
      <c r="BJ22" t="n">
        <v>3333.3</v>
      </c>
      <c r="BK22" t="n">
        <v>3333.3</v>
      </c>
    </row>
    <row r="23">
      <c r="A23" t="inlineStr">
        <is>
          <t>Royal Base II</t>
        </is>
      </c>
      <c r="AA23" s="2" t="n"/>
      <c r="AN23" t="inlineStr">
        <is>
          <t>hand capture only — no extracted counterpart</t>
        </is>
      </c>
      <c r="AP23"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sheetData>
  <autoFilter ref="A1:BK2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D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 width="14" customWidth="1" min="49" max="49"/>
    <col width="10" customWidth="1" min="50" max="50"/>
    <col width="13" customWidth="1" min="51" max="51"/>
    <col width="31" customWidth="1" min="52" max="52"/>
    <col width="31" customWidth="1" min="53" max="53"/>
    <col width="14" customWidth="1" min="54" max="54"/>
    <col width="15" customWidth="1" min="55" max="55"/>
    <col width="12" customWidth="1" min="56" max="5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c r="BA1" s="1" t="inlineStr">
        <is>
          <t>atk1_targets</t>
        </is>
      </c>
      <c r="BB1" s="1" t="inlineStr">
        <is>
          <t>atk2_targets</t>
        </is>
      </c>
      <c r="BC1" s="1" t="inlineStr">
        <is>
          <t>dps_vs_ground</t>
        </is>
      </c>
      <c r="BD1" s="1" t="inlineStr">
        <is>
          <t>dps_vs_air</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c r="AW2" t="n">
        <v>1</v>
      </c>
      <c r="AX2" t="inlineStr">
        <is>
          <t>yes</t>
        </is>
      </c>
      <c r="AY2" t="inlineStr">
        <is>
          <t>yes</t>
        </is>
      </c>
      <c r="AZ2" t="inlineStr">
        <is>
          <t>air,enemies,ground,nonancient</t>
        </is>
      </c>
      <c r="BA2" t="inlineStr">
        <is>
          <t>air,enemies,ground,nonancient</t>
        </is>
      </c>
      <c r="BC2" t="n">
        <v>349.8</v>
      </c>
      <c r="BD2" t="n">
        <v>349.8</v>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c r="AW3" t="n">
        <v>1</v>
      </c>
      <c r="AX3" t="inlineStr">
        <is>
          <t>yes</t>
        </is>
      </c>
      <c r="AY3" t="inlineStr">
        <is>
          <t>yes</t>
        </is>
      </c>
      <c r="AZ3" t="inlineStr">
        <is>
          <t>air,enemies,ground,nonancient</t>
        </is>
      </c>
      <c r="BA3" t="inlineStr">
        <is>
          <t>air,enemies,ground,nonancient</t>
        </is>
      </c>
      <c r="BC3" t="n">
        <v>107.3</v>
      </c>
      <c r="BD3" t="n">
        <v>107.3</v>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c r="AW4" t="n">
        <v>1</v>
      </c>
      <c r="AX4" t="inlineStr">
        <is>
          <t>yes</t>
        </is>
      </c>
      <c r="AY4" t="inlineStr">
        <is>
          <t>yes</t>
        </is>
      </c>
      <c r="AZ4" t="inlineStr">
        <is>
          <t>air,enemies,ground,nonancient</t>
        </is>
      </c>
      <c r="BA4" t="inlineStr">
        <is>
          <t>air,enemies,ground,nonancient</t>
        </is>
      </c>
      <c r="BC4" t="n">
        <v>715.9</v>
      </c>
      <c r="BD4" t="n">
        <v>715.9</v>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c r="AW5" t="n">
        <v>1</v>
      </c>
      <c r="AX5" t="inlineStr">
        <is>
          <t>yes</t>
        </is>
      </c>
      <c r="AY5" t="inlineStr">
        <is>
          <t>yes</t>
        </is>
      </c>
      <c r="AZ5" t="inlineStr">
        <is>
          <t>air,enemies,ground,nonancient</t>
        </is>
      </c>
      <c r="BA5" t="inlineStr">
        <is>
          <t>air,enemies,ground,nonancient</t>
        </is>
      </c>
      <c r="BC5" t="n">
        <v>217.5</v>
      </c>
      <c r="BD5" t="n">
        <v>217.5</v>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c r="AW6" t="n">
        <v>1</v>
      </c>
      <c r="AX6" t="inlineStr">
        <is>
          <t>yes</t>
        </is>
      </c>
      <c r="AY6" t="inlineStr">
        <is>
          <t>yes</t>
        </is>
      </c>
      <c r="AZ6" t="inlineStr">
        <is>
          <t>air,enemies,ground,nonancient</t>
        </is>
      </c>
      <c r="BA6" t="inlineStr">
        <is>
          <t>air,enemies,ground,nonancient</t>
        </is>
      </c>
      <c r="BC6" t="n">
        <v>206.6</v>
      </c>
      <c r="BD6" t="n">
        <v>206.6</v>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c r="AW7" t="n">
        <v>1</v>
      </c>
      <c r="AX7" t="inlineStr">
        <is>
          <t>yes</t>
        </is>
      </c>
      <c r="AY7" t="inlineStr">
        <is>
          <t>yes</t>
        </is>
      </c>
      <c r="AZ7" t="inlineStr">
        <is>
          <t>air,enemies,ground,nonancient</t>
        </is>
      </c>
      <c r="BA7" t="inlineStr">
        <is>
          <t>air,enemies,ground,nonancient</t>
        </is>
      </c>
      <c r="BC7" t="n">
        <v>535.5</v>
      </c>
      <c r="BD7" t="n">
        <v>535.5</v>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c r="AW8" t="n">
        <v>1</v>
      </c>
      <c r="AX8" t="inlineStr">
        <is>
          <t>yes</t>
        </is>
      </c>
      <c r="AY8" t="inlineStr">
        <is>
          <t>yes</t>
        </is>
      </c>
      <c r="AZ8" t="inlineStr">
        <is>
          <t>air,enemies,ground,nonancient</t>
        </is>
      </c>
      <c r="BA8" t="inlineStr">
        <is>
          <t>air,enemies,ground,nonancient</t>
        </is>
      </c>
      <c r="BC8" t="n">
        <v>152.5</v>
      </c>
      <c r="BD8" t="n">
        <v>152.5</v>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c r="AW9" t="n">
        <v>1</v>
      </c>
      <c r="AX9" t="inlineStr">
        <is>
          <t>yes</t>
        </is>
      </c>
      <c r="AY9" t="inlineStr">
        <is>
          <t>yes</t>
        </is>
      </c>
      <c r="AZ9" t="inlineStr">
        <is>
          <t>air,enemies,ground,nonancient</t>
        </is>
      </c>
      <c r="BA9" t="inlineStr">
        <is>
          <t>air,enemies,ground,nonancient</t>
        </is>
      </c>
      <c r="BC9" t="n">
        <v>220</v>
      </c>
      <c r="BD9" t="n">
        <v>220</v>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c r="AW10" t="n">
        <v>1</v>
      </c>
      <c r="AX10" t="inlineStr">
        <is>
          <t>yes</t>
        </is>
      </c>
      <c r="AY10" t="inlineStr">
        <is>
          <t>yes</t>
        </is>
      </c>
      <c r="AZ10" t="inlineStr">
        <is>
          <t>air,enemies,ground,nonancient</t>
        </is>
      </c>
      <c r="BA10" t="inlineStr">
        <is>
          <t>air,enemies,ground,nonancient</t>
        </is>
      </c>
      <c r="BC10" t="n">
        <v>300</v>
      </c>
      <c r="BD10" t="n">
        <v>300</v>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c r="BA11" t="inlineStr">
        <is>
          <t>air,enemies,ground,nonancient</t>
        </is>
      </c>
      <c r="BC11" t="n">
        <v>800</v>
      </c>
      <c r="BD11" t="n">
        <v>800</v>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c r="AW12" t="n">
        <v>1</v>
      </c>
      <c r="AX12" t="inlineStr">
        <is>
          <t>yes</t>
        </is>
      </c>
      <c r="AY12" t="inlineStr">
        <is>
          <t>yes</t>
        </is>
      </c>
      <c r="AZ12" t="inlineStr">
        <is>
          <t>air,enemies,ground,nonancient</t>
        </is>
      </c>
      <c r="BA12" t="inlineStr">
        <is>
          <t>air,enemies,ground,nonancient</t>
        </is>
      </c>
      <c r="BC12" t="n">
        <v>29</v>
      </c>
      <c r="BD12" t="n">
        <v>29</v>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c r="AW13" t="n">
        <v>1</v>
      </c>
      <c r="AX13" t="inlineStr">
        <is>
          <t>yes</t>
        </is>
      </c>
      <c r="AY13" t="inlineStr">
        <is>
          <t>yes</t>
        </is>
      </c>
      <c r="AZ13" t="inlineStr">
        <is>
          <t>air,enemies,ground,nonancient</t>
        </is>
      </c>
      <c r="BA13" t="inlineStr">
        <is>
          <t>air,enemies,ground,nonancient</t>
        </is>
      </c>
      <c r="BC13" t="n">
        <v>469.2</v>
      </c>
      <c r="BD13" t="n">
        <v>469.2</v>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c r="AW14" t="n">
        <v>1</v>
      </c>
      <c r="AX14" t="inlineStr">
        <is>
          <t>yes</t>
        </is>
      </c>
      <c r="AY14" t="inlineStr">
        <is>
          <t>yes</t>
        </is>
      </c>
      <c r="AZ14" t="inlineStr">
        <is>
          <t>air,enemies,ground,nonancient</t>
        </is>
      </c>
      <c r="BA14" t="inlineStr">
        <is>
          <t>air,enemies,ground,nonancient</t>
        </is>
      </c>
      <c r="BC14" t="n">
        <v>317.5</v>
      </c>
      <c r="BD14" t="n">
        <v>317.5</v>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c r="AW15" t="n">
        <v>1</v>
      </c>
      <c r="AX15" t="inlineStr">
        <is>
          <t>yes</t>
        </is>
      </c>
      <c r="AY15" t="inlineStr">
        <is>
          <t>yes</t>
        </is>
      </c>
      <c r="AZ15" t="inlineStr">
        <is>
          <t>air,enemies,ground,nonancient</t>
        </is>
      </c>
      <c r="BA15" t="inlineStr">
        <is>
          <t>air,enemies,ground,nonancient</t>
        </is>
      </c>
      <c r="BC15" t="n">
        <v>811.2</v>
      </c>
      <c r="BD15" t="n">
        <v>811.2</v>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c r="AW16" t="n">
        <v>1</v>
      </c>
      <c r="AX16" t="inlineStr">
        <is>
          <t>yes</t>
        </is>
      </c>
      <c r="AY16" t="inlineStr">
        <is>
          <t>yes</t>
        </is>
      </c>
      <c r="AZ16" t="inlineStr">
        <is>
          <t>air,enemies,ground,nonancient</t>
        </is>
      </c>
      <c r="BA16" t="inlineStr">
        <is>
          <t>air,enemies,ground,nonancient</t>
        </is>
      </c>
      <c r="BC16" t="n">
        <v>470</v>
      </c>
      <c r="BD16" t="n">
        <v>470</v>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c r="AW17" t="n">
        <v>1</v>
      </c>
      <c r="AX17" t="inlineStr">
        <is>
          <t>yes</t>
        </is>
      </c>
      <c r="AY17" t="inlineStr">
        <is>
          <t>yes</t>
        </is>
      </c>
      <c r="AZ17" t="inlineStr">
        <is>
          <t>air,enemies,ground,nonancient</t>
        </is>
      </c>
      <c r="BA17" t="inlineStr">
        <is>
          <t>air,enemies,ground,nonancient</t>
        </is>
      </c>
      <c r="BC17" t="n">
        <v>429</v>
      </c>
      <c r="BD17" t="n">
        <v>429</v>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c r="AW18" t="n">
        <v>1</v>
      </c>
      <c r="AX18" t="inlineStr">
        <is>
          <t>yes</t>
        </is>
      </c>
      <c r="AY18" t="inlineStr">
        <is>
          <t>yes</t>
        </is>
      </c>
      <c r="AZ18" t="inlineStr">
        <is>
          <t>air,enemies,ground,nonancient</t>
        </is>
      </c>
      <c r="BA18" t="inlineStr">
        <is>
          <t>air,enemies,ground,nonancient</t>
        </is>
      </c>
      <c r="BC18" t="n">
        <v>963.5</v>
      </c>
      <c r="BD18" t="n">
        <v>963.5</v>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c r="AW19" t="n">
        <v>1</v>
      </c>
      <c r="AX19" t="inlineStr">
        <is>
          <t>yes</t>
        </is>
      </c>
      <c r="AY19" t="inlineStr">
        <is>
          <t>yes</t>
        </is>
      </c>
      <c r="AZ19" t="inlineStr">
        <is>
          <t>air,enemies,ground,nonancient</t>
        </is>
      </c>
      <c r="BA19" t="inlineStr">
        <is>
          <t>air,enemies,ground,nonancient</t>
        </is>
      </c>
      <c r="BC19" t="n">
        <v>2418.8</v>
      </c>
      <c r="BD19" t="n">
        <v>2418.8</v>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c r="AW20" t="n">
        <v>1</v>
      </c>
      <c r="AX20" t="inlineStr">
        <is>
          <t>yes</t>
        </is>
      </c>
      <c r="AY20" t="inlineStr">
        <is>
          <t>yes</t>
        </is>
      </c>
      <c r="AZ20" t="inlineStr">
        <is>
          <t>air,enemies,ground,nonancient</t>
        </is>
      </c>
      <c r="BA20" t="inlineStr">
        <is>
          <t>air,enemies,ground,nonancient</t>
        </is>
      </c>
      <c r="BC20" t="n">
        <v>7327.7</v>
      </c>
      <c r="BD20" t="n">
        <v>7327.7</v>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c r="AW21" t="n">
        <v>1</v>
      </c>
      <c r="AX21" t="inlineStr">
        <is>
          <t>yes</t>
        </is>
      </c>
      <c r="AY21" t="inlineStr">
        <is>
          <t>yes</t>
        </is>
      </c>
      <c r="AZ21" t="inlineStr">
        <is>
          <t>air,enemies,ground,nonancient</t>
        </is>
      </c>
      <c r="BA21" t="inlineStr">
        <is>
          <t>air,enemies,ground,nonancient</t>
        </is>
      </c>
      <c r="BC21" t="n">
        <v>13333.3</v>
      </c>
      <c r="BD21" t="n">
        <v>13333.3</v>
      </c>
    </row>
  </sheetData>
  <autoFilter ref="A1:BD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I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 width="20" customWidth="1" min="53" max="53"/>
    <col width="14" customWidth="1" min="54" max="54"/>
    <col width="10" customWidth="1" min="55" max="55"/>
    <col width="13" customWidth="1" min="56" max="56"/>
    <col width="31" customWidth="1" min="57" max="57"/>
    <col width="31" customWidth="1" min="58" max="58"/>
    <col width="24" customWidth="1" min="59" max="59"/>
    <col width="15" customWidth="1" min="60" max="60"/>
    <col width="12" customWidth="1" min="61" max="6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c r="BA1" s="1" t="inlineStr">
        <is>
          <t>hand_capture_name</t>
        </is>
      </c>
      <c r="BB1" s="1" t="inlineStr">
        <is>
          <t>attack_count</t>
        </is>
      </c>
      <c r="BC1" s="1" t="inlineStr">
        <is>
          <t>hits_air</t>
        </is>
      </c>
      <c r="BD1" s="1" t="inlineStr">
        <is>
          <t>hits_ground</t>
        </is>
      </c>
      <c r="BE1" s="1" t="inlineStr">
        <is>
          <t>targets_all</t>
        </is>
      </c>
      <c r="BF1" s="1" t="inlineStr">
        <is>
          <t>atk1_targets</t>
        </is>
      </c>
      <c r="BG1" s="1" t="inlineStr">
        <is>
          <t>atk2_targets</t>
        </is>
      </c>
      <c r="BH1" s="1" t="inlineStr">
        <is>
          <t>dps_vs_ground</t>
        </is>
      </c>
      <c r="BI1" s="1" t="inlineStr">
        <is>
          <t>dps_vs_air</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c r="BB2" t="n">
        <v>1</v>
      </c>
      <c r="BC2" t="inlineStr">
        <is>
          <t>yes</t>
        </is>
      </c>
      <c r="BD2" t="inlineStr">
        <is>
          <t>yes</t>
        </is>
      </c>
      <c r="BE2" t="inlineStr">
        <is>
          <t>air,enemies,ground,nonancient</t>
        </is>
      </c>
      <c r="BF2" t="inlineStr">
        <is>
          <t>air,enemies,ground,nonancient</t>
        </is>
      </c>
      <c r="BH2" t="n">
        <v>56.9</v>
      </c>
      <c r="BI2" t="n">
        <v>56.9</v>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c r="BB3" t="n">
        <v>1</v>
      </c>
      <c r="BC3" t="inlineStr">
        <is>
          <t>yes</t>
        </is>
      </c>
      <c r="BD3" t="inlineStr">
        <is>
          <t>yes</t>
        </is>
      </c>
      <c r="BE3" t="inlineStr">
        <is>
          <t>air,enemies,ground,nonancient</t>
        </is>
      </c>
      <c r="BF3" t="inlineStr">
        <is>
          <t>air,enemies,ground,nonancient</t>
        </is>
      </c>
      <c r="BH3" t="n">
        <v>105.5</v>
      </c>
      <c r="BI3" t="n">
        <v>105.5</v>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c r="BB4" t="n">
        <v>1</v>
      </c>
      <c r="BC4" t="inlineStr">
        <is>
          <t>yes</t>
        </is>
      </c>
      <c r="BD4" t="inlineStr">
        <is>
          <t>yes</t>
        </is>
      </c>
      <c r="BE4" t="inlineStr">
        <is>
          <t>air,enemies,ground,nonancient</t>
        </is>
      </c>
      <c r="BF4" t="inlineStr">
        <is>
          <t>air,enemies,ground,nonancient</t>
        </is>
      </c>
      <c r="BH4" t="n">
        <v>246.7</v>
      </c>
      <c r="BI4" t="n">
        <v>246.7</v>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L5" t="inlineStr">
        <is>
          <t>observed</t>
        </is>
      </c>
      <c r="AM5" t="inlineStr">
        <is>
          <t>D4</t>
        </is>
      </c>
      <c r="AN5"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c r="BA5" t="inlineStr">
        <is>
          <t>Giga Spikes</t>
        </is>
      </c>
      <c r="BB5" t="n">
        <v>1</v>
      </c>
      <c r="BC5" t="inlineStr">
        <is>
          <t>yes</t>
        </is>
      </c>
      <c r="BD5" t="inlineStr">
        <is>
          <t>yes</t>
        </is>
      </c>
      <c r="BE5" t="inlineStr">
        <is>
          <t>air,enemies,ground,nonancient</t>
        </is>
      </c>
      <c r="BF5" t="inlineStr">
        <is>
          <t>air,enemies,ground,nonancient</t>
        </is>
      </c>
      <c r="BH5" t="n">
        <v>477.8</v>
      </c>
      <c r="BI5" t="n">
        <v>477.8</v>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c r="BB6" t="n">
        <v>1</v>
      </c>
      <c r="BC6" t="inlineStr">
        <is>
          <t>yes</t>
        </is>
      </c>
      <c r="BD6" t="inlineStr">
        <is>
          <t>yes</t>
        </is>
      </c>
      <c r="BE6" t="inlineStr">
        <is>
          <t>air,enemies,ground,nonancient</t>
        </is>
      </c>
      <c r="BF6" t="inlineStr">
        <is>
          <t>air,enemies,ground,nonancient</t>
        </is>
      </c>
      <c r="BH6" t="n">
        <v>781.3</v>
      </c>
      <c r="BI6" t="n">
        <v>781.3</v>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c r="BB7" t="n">
        <v>1</v>
      </c>
      <c r="BC7" t="inlineStr">
        <is>
          <t>yes</t>
        </is>
      </c>
      <c r="BD7" t="inlineStr">
        <is>
          <t>yes</t>
        </is>
      </c>
      <c r="BE7" t="inlineStr">
        <is>
          <t>air,enemies,ground,nonancient</t>
        </is>
      </c>
      <c r="BF7" t="inlineStr">
        <is>
          <t>air,enemies,ground,nonancient</t>
        </is>
      </c>
      <c r="BH7" t="n">
        <v>1243.1</v>
      </c>
      <c r="BI7" t="n">
        <v>1243.1</v>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c r="BB8" t="n">
        <v>1</v>
      </c>
      <c r="BC8" t="inlineStr">
        <is>
          <t>yes</t>
        </is>
      </c>
      <c r="BD8" t="inlineStr">
        <is>
          <t>yes</t>
        </is>
      </c>
      <c r="BE8" t="inlineStr">
        <is>
          <t>air,enemies,ground,nonancient</t>
        </is>
      </c>
      <c r="BF8" t="inlineStr">
        <is>
          <t>air,enemies,ground,nonancient</t>
        </is>
      </c>
      <c r="BH8" t="n">
        <v>1506.1</v>
      </c>
      <c r="BI8" t="n">
        <v>1506.1</v>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c r="BB9" t="n">
        <v>1</v>
      </c>
      <c r="BC9" t="inlineStr">
        <is>
          <t>yes</t>
        </is>
      </c>
      <c r="BD9" t="inlineStr">
        <is>
          <t>yes</t>
        </is>
      </c>
      <c r="BE9" t="inlineStr">
        <is>
          <t>air,enemies,ground,nonancient</t>
        </is>
      </c>
      <c r="BF9" t="inlineStr">
        <is>
          <t>air,enemies,ground,nonancient</t>
        </is>
      </c>
      <c r="BH9" t="n">
        <v>176.6</v>
      </c>
      <c r="BI9" t="n">
        <v>176.6</v>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c r="BB10" t="n">
        <v>1</v>
      </c>
      <c r="BC10" t="inlineStr">
        <is>
          <t>yes</t>
        </is>
      </c>
      <c r="BD10" t="inlineStr">
        <is>
          <t>yes</t>
        </is>
      </c>
      <c r="BE10" t="inlineStr">
        <is>
          <t>air,enemies,ground,nonancient</t>
        </is>
      </c>
      <c r="BF10" t="inlineStr">
        <is>
          <t>air,enemies,ground,nonancient</t>
        </is>
      </c>
      <c r="BH10" t="n">
        <v>318.8</v>
      </c>
      <c r="BI10" t="n">
        <v>318.8</v>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c r="BB11" t="n">
        <v>1</v>
      </c>
      <c r="BC11" t="inlineStr">
        <is>
          <t>yes</t>
        </is>
      </c>
      <c r="BD11" t="inlineStr">
        <is>
          <t>yes</t>
        </is>
      </c>
      <c r="BE11" t="inlineStr">
        <is>
          <t>air,enemies,ground,nonancient</t>
        </is>
      </c>
      <c r="BF11" t="inlineStr">
        <is>
          <t>air,enemies,ground,nonancient</t>
        </is>
      </c>
      <c r="BH11" t="n">
        <v>1925</v>
      </c>
      <c r="BI11" t="n">
        <v>1925</v>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c r="BB12" t="n">
        <v>1</v>
      </c>
      <c r="BC12" t="inlineStr">
        <is>
          <t>yes</t>
        </is>
      </c>
      <c r="BD12" t="inlineStr">
        <is>
          <t>yes</t>
        </is>
      </c>
      <c r="BE12" t="inlineStr">
        <is>
          <t>air,enemies,ground,nonancient</t>
        </is>
      </c>
      <c r="BF12" t="inlineStr">
        <is>
          <t>air,enemies,ground,nonancient</t>
        </is>
      </c>
      <c r="BH12" t="n">
        <v>1417.5</v>
      </c>
      <c r="BI12" t="n">
        <v>1417.5</v>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c r="BB13" t="n">
        <v>1</v>
      </c>
      <c r="BC13" t="inlineStr">
        <is>
          <t>yes</t>
        </is>
      </c>
      <c r="BD13" t="inlineStr">
        <is>
          <t>yes</t>
        </is>
      </c>
      <c r="BE13" t="inlineStr">
        <is>
          <t>air,enemies,ground,nonancient</t>
        </is>
      </c>
      <c r="BF13" t="inlineStr">
        <is>
          <t>air,enemies,ground,nonancient</t>
        </is>
      </c>
      <c r="BH13" t="n">
        <v>2230</v>
      </c>
      <c r="BI13" t="n">
        <v>2230</v>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c r="BB14" t="n">
        <v>2</v>
      </c>
      <c r="BC14" t="inlineStr">
        <is>
          <t>yes</t>
        </is>
      </c>
      <c r="BD14" t="inlineStr">
        <is>
          <t>yes</t>
        </is>
      </c>
      <c r="BE14" t="inlineStr">
        <is>
          <t>air,enemies,ground,nonancient</t>
        </is>
      </c>
      <c r="BF14" t="inlineStr">
        <is>
          <t>enemies,ground,nonancient</t>
        </is>
      </c>
      <c r="BG14" t="inlineStr">
        <is>
          <t>air,enemies,nonancient</t>
        </is>
      </c>
      <c r="BH14" t="n">
        <v>1998.7</v>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c r="BB15" t="n">
        <v>1</v>
      </c>
      <c r="BC15" t="inlineStr">
        <is>
          <t>yes</t>
        </is>
      </c>
      <c r="BD15" t="inlineStr">
        <is>
          <t>yes</t>
        </is>
      </c>
      <c r="BE15" t="inlineStr">
        <is>
          <t>air,enemies,ground,nonancient</t>
        </is>
      </c>
      <c r="BF15" t="inlineStr">
        <is>
          <t>air,enemies,ground,nonancient</t>
        </is>
      </c>
      <c r="BH15" t="n">
        <v>641.9</v>
      </c>
      <c r="BI15" t="n">
        <v>641.9</v>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c r="BB16" t="n">
        <v>1</v>
      </c>
      <c r="BC16" t="inlineStr">
        <is>
          <t>yes</t>
        </is>
      </c>
      <c r="BD16" t="inlineStr">
        <is>
          <t>yes</t>
        </is>
      </c>
      <c r="BE16" t="inlineStr">
        <is>
          <t>air,enemies,ground,nonancient</t>
        </is>
      </c>
      <c r="BF16" t="inlineStr">
        <is>
          <t>air,enemies,ground,nonancient</t>
        </is>
      </c>
      <c r="BH16" t="n">
        <v>2257</v>
      </c>
      <c r="BI16" t="n">
        <v>2257</v>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c r="BB17" t="n">
        <v>1</v>
      </c>
      <c r="BC17" t="inlineStr">
        <is>
          <t>yes</t>
        </is>
      </c>
      <c r="BD17" t="inlineStr">
        <is>
          <t>yes</t>
        </is>
      </c>
      <c r="BE17" t="inlineStr">
        <is>
          <t>air,enemies,ground,nonancient</t>
        </is>
      </c>
      <c r="BF17" t="inlineStr">
        <is>
          <t>air,enemies,ground,nonancient</t>
        </is>
      </c>
      <c r="BH17" t="n">
        <v>1059.2</v>
      </c>
      <c r="BI17" t="n">
        <v>1059.2</v>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c r="BB18" t="n">
        <v>1</v>
      </c>
      <c r="BC18" t="inlineStr">
        <is>
          <t>yes</t>
        </is>
      </c>
      <c r="BD18" t="inlineStr">
        <is>
          <t>yes</t>
        </is>
      </c>
      <c r="BE18" t="inlineStr">
        <is>
          <t>air,enemies,ground,nonancient</t>
        </is>
      </c>
      <c r="BF18" t="inlineStr">
        <is>
          <t>air,enemies,ground,nonancient</t>
        </is>
      </c>
      <c r="BH18" t="n">
        <v>1802.5</v>
      </c>
      <c r="BI18" t="n">
        <v>1802.5</v>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c r="BB19" t="n">
        <v>1</v>
      </c>
      <c r="BC19" t="inlineStr">
        <is>
          <t>yes</t>
        </is>
      </c>
      <c r="BD19" t="inlineStr">
        <is>
          <t>yes</t>
        </is>
      </c>
      <c r="BE19" t="inlineStr">
        <is>
          <t>air,enemies,ground,nonancient</t>
        </is>
      </c>
      <c r="BF19" t="inlineStr">
        <is>
          <t>air,enemies,ground,nonancient</t>
        </is>
      </c>
      <c r="BH19" t="n">
        <v>3975.8</v>
      </c>
      <c r="BI19" t="n">
        <v>3975.8</v>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c r="BB20" t="n">
        <v>1</v>
      </c>
      <c r="BC20" t="inlineStr">
        <is>
          <t>yes</t>
        </is>
      </c>
      <c r="BD20" t="inlineStr">
        <is>
          <t>yes</t>
        </is>
      </c>
      <c r="BE20" t="inlineStr">
        <is>
          <t>air,enemies,ground,nonancient</t>
        </is>
      </c>
      <c r="BF20" t="inlineStr">
        <is>
          <t>air,enemies,ground,nonancient</t>
        </is>
      </c>
      <c r="BH20" t="n">
        <v>7035.7</v>
      </c>
      <c r="BI20" t="n">
        <v>7035.7</v>
      </c>
    </row>
    <row r="21">
      <c r="A21" t="inlineStr">
        <is>
          <t>Specialist Base</t>
        </is>
      </c>
      <c r="AA21" s="2" t="n"/>
      <c r="AL21" t="inlineStr">
        <is>
          <t>hand capture only — no extracted counterpart</t>
        </is>
      </c>
      <c r="AN21"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Brahma's Fix-it Shop</t>
        </is>
      </c>
      <c r="B22" t="inlineStr">
        <is>
          <t>h04H</t>
        </is>
      </c>
      <c r="D22" t="n">
        <v>95</v>
      </c>
      <c r="H22" t="inlineStr">
        <is>
          <t>Machine Critical Strike (A03Y); Super Regeneration (A070); Empathic Fix (AChv); Sell Tower (A028)</t>
        </is>
      </c>
      <c r="J22" t="n">
        <v>175</v>
      </c>
      <c r="K22" t="n">
        <v>175</v>
      </c>
      <c r="L22" t="n">
        <v>175</v>
      </c>
      <c r="M22" t="n">
        <v>1.5</v>
      </c>
      <c r="N22" t="n">
        <v>1100</v>
      </c>
      <c r="O22" t="inlineStr">
        <is>
          <t>siege</t>
        </is>
      </c>
      <c r="P22" t="n">
        <v>116.7</v>
      </c>
      <c r="Z22" t="n">
        <v>7</v>
      </c>
      <c r="AA22" s="2" t="n">
        <v>1500</v>
      </c>
      <c r="AB22" t="n">
        <v>0</v>
      </c>
      <c r="AC22" t="inlineStr">
        <is>
          <t>missile</t>
        </is>
      </c>
      <c r="AD22" t="n">
        <v>174</v>
      </c>
      <c r="AE22" t="n">
        <v>1</v>
      </c>
      <c r="AF22" t="n">
        <v>1</v>
      </c>
      <c r="AG22" t="inlineStr">
        <is>
          <t>siege</t>
        </is>
      </c>
      <c r="AH22" t="inlineStr">
        <is>
          <t>hhou</t>
        </is>
      </c>
      <c r="AI22" t="inlineStr">
        <is>
          <t>A03Y,A070,AChv,A028</t>
        </is>
      </c>
      <c r="AJ22" t="inlineStr">
        <is>
          <t>Up g rade to Brahma's Fix-it Shop</t>
        </is>
      </c>
      <c r="AL22" t="inlineStr">
        <is>
          <t>relocated</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v>116.7</v>
      </c>
      <c r="AP22" s="3" t="n">
        <v>1.8</v>
      </c>
      <c r="AQ22" s="2">
        <f>AO22*AP22</f>
        <v/>
      </c>
      <c r="AR22" s="3">
        <f>IF(D22=0,"",AW22/D22)</f>
        <v/>
      </c>
      <c r="AS22" s="3">
        <f>(N22/725)^2</f>
        <v/>
      </c>
      <c r="AT22" s="3">
        <f>IF(D22=0,"",AR22*AS22)</f>
        <v/>
      </c>
      <c r="AU22" s="2" t="n"/>
      <c r="AV22" s="2" t="n"/>
      <c r="AW22" s="2">
        <f>AQ22+N(AU22)+N(AV22)</f>
        <v/>
      </c>
      <c r="AX22" s="3">
        <f>IF(D22=0,"",AR22*(N22/725))</f>
        <v/>
      </c>
      <c r="AY22" t="inlineStr">
        <is>
          <t>basic attack</t>
        </is>
      </c>
      <c r="AZ22" t="inlineStr">
        <is>
          <t>map</t>
        </is>
      </c>
      <c r="BA22" t="inlineStr">
        <is>
          <t>Brahma Fix It Shop</t>
        </is>
      </c>
      <c r="BB22" t="n">
        <v>1</v>
      </c>
      <c r="BC22" t="inlineStr">
        <is>
          <t>yes</t>
        </is>
      </c>
      <c r="BD22" t="inlineStr">
        <is>
          <t>yes</t>
        </is>
      </c>
      <c r="BE22" t="inlineStr">
        <is>
          <t>air,enemies,ground,nonancient</t>
        </is>
      </c>
      <c r="BF22" t="inlineStr">
        <is>
          <t>air,enemies,ground,nonancient</t>
        </is>
      </c>
      <c r="BH22" t="n">
        <v>210.1</v>
      </c>
      <c r="BI22" t="n">
        <v>210.1</v>
      </c>
    </row>
  </sheetData>
  <autoFilter ref="A1:BI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J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11"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14" customWidth="1" min="55" max="55"/>
    <col width="10" customWidth="1" min="56" max="56"/>
    <col width="13" customWidth="1" min="57" max="57"/>
    <col width="31" customWidth="1" min="58" max="58"/>
    <col width="31" customWidth="1" min="59" max="59"/>
    <col width="27" customWidth="1" min="60" max="60"/>
    <col width="15" customWidth="1" min="61" max="61"/>
    <col width="12" customWidth="1" min="62" max="6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attack_count</t>
        </is>
      </c>
      <c r="BD1" s="1" t="inlineStr">
        <is>
          <t>hits_air</t>
        </is>
      </c>
      <c r="BE1" s="1" t="inlineStr">
        <is>
          <t>hits_ground</t>
        </is>
      </c>
      <c r="BF1" s="1" t="inlineStr">
        <is>
          <t>targets_all</t>
        </is>
      </c>
      <c r="BG1" s="1" t="inlineStr">
        <is>
          <t>atk1_targets</t>
        </is>
      </c>
      <c r="BH1" s="1" t="inlineStr">
        <is>
          <t>atk2_targets</t>
        </is>
      </c>
      <c r="BI1" s="1" t="inlineStr">
        <is>
          <t>dps_vs_ground</t>
        </is>
      </c>
      <c r="BJ1" s="1" t="inlineStr">
        <is>
          <t>dps_vs_air</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c r="BC2" t="n">
        <v>1</v>
      </c>
      <c r="BD2" t="inlineStr">
        <is>
          <t>yes</t>
        </is>
      </c>
      <c r="BE2" t="inlineStr">
        <is>
          <t>yes</t>
        </is>
      </c>
      <c r="BF2" t="inlineStr">
        <is>
          <t>air,enemies,ground,nonancient</t>
        </is>
      </c>
      <c r="BG2" t="inlineStr">
        <is>
          <t>air,enemies,ground,nonancient</t>
        </is>
      </c>
      <c r="BI2" t="n">
        <v>81.2</v>
      </c>
      <c r="BJ2" t="n">
        <v>81.2</v>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c r="BC3" t="n">
        <v>1</v>
      </c>
      <c r="BD3" t="inlineStr">
        <is>
          <t>yes</t>
        </is>
      </c>
      <c r="BE3" t="inlineStr">
        <is>
          <t>yes</t>
        </is>
      </c>
      <c r="BF3" t="inlineStr">
        <is>
          <t>air,enemies,ground,nonancient</t>
        </is>
      </c>
      <c r="BG3" t="inlineStr">
        <is>
          <t>air,enemies,ground,nonancient</t>
        </is>
      </c>
      <c r="BI3" t="n">
        <v>363.2</v>
      </c>
      <c r="BJ3" t="n">
        <v>363.2</v>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c r="BC4" t="n">
        <v>1</v>
      </c>
      <c r="BD4" t="inlineStr">
        <is>
          <t>yes</t>
        </is>
      </c>
      <c r="BE4" t="inlineStr">
        <is>
          <t>yes</t>
        </is>
      </c>
      <c r="BF4" t="inlineStr">
        <is>
          <t>air,enemies,ground,nonancient</t>
        </is>
      </c>
      <c r="BG4" t="inlineStr">
        <is>
          <t>air,enemies,ground,nonancient</t>
        </is>
      </c>
      <c r="BI4" t="n">
        <v>132</v>
      </c>
      <c r="BJ4" t="n">
        <v>132</v>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c r="BC5" t="n">
        <v>1</v>
      </c>
      <c r="BD5" t="inlineStr">
        <is>
          <t>yes</t>
        </is>
      </c>
      <c r="BE5" t="inlineStr">
        <is>
          <t>yes</t>
        </is>
      </c>
      <c r="BF5" t="inlineStr">
        <is>
          <t>air,enemies,ground,nonancient</t>
        </is>
      </c>
      <c r="BG5" t="inlineStr">
        <is>
          <t>air,enemies,ground,nonancient</t>
        </is>
      </c>
      <c r="BI5" t="n">
        <v>525</v>
      </c>
      <c r="BJ5" t="n">
        <v>525</v>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c r="BC6" t="n">
        <v>1</v>
      </c>
      <c r="BD6" t="inlineStr">
        <is>
          <t>yes</t>
        </is>
      </c>
      <c r="BE6" t="inlineStr">
        <is>
          <t>yes</t>
        </is>
      </c>
      <c r="BF6" t="inlineStr">
        <is>
          <t>air,enemies,ground,nonancient</t>
        </is>
      </c>
      <c r="BG6" t="inlineStr">
        <is>
          <t>air,enemies,ground,nonancient</t>
        </is>
      </c>
      <c r="BI6" t="n">
        <v>309.6</v>
      </c>
      <c r="BJ6" t="n">
        <v>309.6</v>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c r="BC7" t="n">
        <v>1</v>
      </c>
      <c r="BD7" t="inlineStr">
        <is>
          <t>yes</t>
        </is>
      </c>
      <c r="BE7" t="inlineStr">
        <is>
          <t>yes</t>
        </is>
      </c>
      <c r="BF7" t="inlineStr">
        <is>
          <t>air,enemies,ground,nonancient</t>
        </is>
      </c>
      <c r="BG7" t="inlineStr">
        <is>
          <t>air,enemies,ground,nonancient</t>
        </is>
      </c>
      <c r="BI7" t="n">
        <v>1562.5</v>
      </c>
      <c r="BJ7" t="n">
        <v>1562.5</v>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c r="BC8" t="n">
        <v>1</v>
      </c>
      <c r="BD8" t="inlineStr">
        <is>
          <t>yes</t>
        </is>
      </c>
      <c r="BE8" t="inlineStr">
        <is>
          <t>yes</t>
        </is>
      </c>
      <c r="BF8" t="inlineStr">
        <is>
          <t>air,enemies,ground,nonancient</t>
        </is>
      </c>
      <c r="BG8" t="inlineStr">
        <is>
          <t>air,enemies,ground,nonancient</t>
        </is>
      </c>
      <c r="BI8" t="n">
        <v>813</v>
      </c>
      <c r="BJ8" t="n">
        <v>813</v>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c r="BC9" t="n">
        <v>1</v>
      </c>
      <c r="BD9" t="inlineStr">
        <is>
          <t>yes</t>
        </is>
      </c>
      <c r="BE9" t="inlineStr">
        <is>
          <t>yes</t>
        </is>
      </c>
      <c r="BF9" t="inlineStr">
        <is>
          <t>air,enemies,ground,nonancient</t>
        </is>
      </c>
      <c r="BG9" t="inlineStr">
        <is>
          <t>air,enemies,ground,nonancient</t>
        </is>
      </c>
      <c r="BI9" t="n">
        <v>265.5</v>
      </c>
      <c r="BJ9" t="n">
        <v>265.5</v>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c r="BC10" t="n">
        <v>1</v>
      </c>
      <c r="BD10" t="inlineStr">
        <is>
          <t>yes</t>
        </is>
      </c>
      <c r="BE10" t="inlineStr">
        <is>
          <t>yes</t>
        </is>
      </c>
      <c r="BF10" t="inlineStr">
        <is>
          <t>air,enemies,ground,nonancient</t>
        </is>
      </c>
      <c r="BG10" t="inlineStr">
        <is>
          <t>air,enemies,ground,nonancient</t>
        </is>
      </c>
      <c r="BI10" t="n">
        <v>253.7</v>
      </c>
      <c r="BJ10" t="n">
        <v>253.7</v>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c r="BC11" t="n">
        <v>2</v>
      </c>
      <c r="BD11" t="inlineStr">
        <is>
          <t>yes</t>
        </is>
      </c>
      <c r="BE11" t="inlineStr">
        <is>
          <t>yes</t>
        </is>
      </c>
      <c r="BF11" t="inlineStr">
        <is>
          <t>air,enemies,ground,nonancient</t>
        </is>
      </c>
      <c r="BG11" t="inlineStr">
        <is>
          <t>enemies,ground,nonancient</t>
        </is>
      </c>
      <c r="BH11" t="inlineStr">
        <is>
          <t>air,enemies,nonancient</t>
        </is>
      </c>
      <c r="BI11" t="n">
        <v>6254.3</v>
      </c>
      <c r="BJ11" t="n">
        <v>3273.1</v>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c r="BC12" t="n">
        <v>1</v>
      </c>
      <c r="BD12" t="inlineStr">
        <is>
          <t>yes</t>
        </is>
      </c>
      <c r="BE12" t="inlineStr">
        <is>
          <t>yes</t>
        </is>
      </c>
      <c r="BF12" t="inlineStr">
        <is>
          <t>air,enemies,ground,nonancient</t>
        </is>
      </c>
      <c r="BG12" t="inlineStr">
        <is>
          <t>air,enemies,ground,nonancient</t>
        </is>
      </c>
      <c r="BI12" t="n">
        <v>986</v>
      </c>
      <c r="BJ12" t="n">
        <v>986</v>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c r="BC13" t="n">
        <v>1</v>
      </c>
      <c r="BD13" t="inlineStr">
        <is>
          <t>yes</t>
        </is>
      </c>
      <c r="BE13" t="inlineStr">
        <is>
          <t>yes</t>
        </is>
      </c>
      <c r="BF13" t="inlineStr">
        <is>
          <t>air,enemies,ground,nonancient</t>
        </is>
      </c>
      <c r="BG13" t="inlineStr">
        <is>
          <t>air,enemies,ground,nonancient</t>
        </is>
      </c>
      <c r="BI13" t="n">
        <v>1369.3</v>
      </c>
      <c r="BJ13" t="n">
        <v>1369.3</v>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c r="BC14" t="n">
        <v>1</v>
      </c>
      <c r="BD14" t="inlineStr">
        <is>
          <t>yes</t>
        </is>
      </c>
      <c r="BE14" t="inlineStr">
        <is>
          <t>yes</t>
        </is>
      </c>
      <c r="BF14" t="inlineStr">
        <is>
          <t>air,enemies,ground,nonancient</t>
        </is>
      </c>
      <c r="BG14" t="inlineStr">
        <is>
          <t>air,enemies,ground,nonancient</t>
        </is>
      </c>
      <c r="BI14" t="n">
        <v>1783</v>
      </c>
      <c r="BJ14" t="n">
        <v>1783</v>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c r="BC15" t="n">
        <v>1</v>
      </c>
      <c r="BD15" t="inlineStr">
        <is>
          <t>yes</t>
        </is>
      </c>
      <c r="BE15" t="inlineStr">
        <is>
          <t>yes</t>
        </is>
      </c>
      <c r="BF15" t="inlineStr">
        <is>
          <t>air,enemies,ground,nonancient</t>
        </is>
      </c>
      <c r="BG15" t="inlineStr">
        <is>
          <t>air,enemies,ground,nonancient</t>
        </is>
      </c>
      <c r="BI15" t="n">
        <v>839</v>
      </c>
      <c r="BJ15" t="n">
        <v>839</v>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c r="BC16" t="n">
        <v>1</v>
      </c>
      <c r="BD16" t="inlineStr">
        <is>
          <t>yes</t>
        </is>
      </c>
      <c r="BE16" t="inlineStr">
        <is>
          <t>yes</t>
        </is>
      </c>
      <c r="BF16" t="inlineStr">
        <is>
          <t>air,enemies,ground,nonancient</t>
        </is>
      </c>
      <c r="BG16" t="inlineStr">
        <is>
          <t>air,enemies,ground,nonancient</t>
        </is>
      </c>
      <c r="BI16" t="n">
        <v>316.7</v>
      </c>
      <c r="BJ16" t="n">
        <v>316.7</v>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c r="BC17" t="n">
        <v>1</v>
      </c>
      <c r="BD17" t="inlineStr">
        <is>
          <t>yes</t>
        </is>
      </c>
      <c r="BE17" t="inlineStr">
        <is>
          <t>yes</t>
        </is>
      </c>
      <c r="BF17" t="inlineStr">
        <is>
          <t>air,enemies,ground,nonancient</t>
        </is>
      </c>
      <c r="BG17" t="inlineStr">
        <is>
          <t>air,enemies,ground,nonancient</t>
        </is>
      </c>
      <c r="BI17" t="n">
        <v>1000</v>
      </c>
      <c r="BJ17" t="n">
        <v>1000</v>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c r="BC18" t="n">
        <v>2</v>
      </c>
      <c r="BD18" t="inlineStr">
        <is>
          <t>yes</t>
        </is>
      </c>
      <c r="BE18" t="inlineStr">
        <is>
          <t>yes</t>
        </is>
      </c>
      <c r="BF18" t="inlineStr">
        <is>
          <t>air,enemies,ground,nonancient</t>
        </is>
      </c>
      <c r="BG18" t="inlineStr">
        <is>
          <t>enemies,ground,nonancient</t>
        </is>
      </c>
      <c r="BH18" t="inlineStr">
        <is>
          <t>air,enemies,nonancient</t>
        </is>
      </c>
      <c r="BI18" t="n">
        <v>95.09999999999999</v>
      </c>
      <c r="BJ18" t="n">
        <v>2000</v>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c r="BC19" t="n">
        <v>1</v>
      </c>
      <c r="BD19" t="inlineStr">
        <is>
          <t>yes</t>
        </is>
      </c>
      <c r="BE19" t="inlineStr">
        <is>
          <t>yes</t>
        </is>
      </c>
      <c r="BF19" t="inlineStr">
        <is>
          <t>air,enemies,ground,nonancient</t>
        </is>
      </c>
      <c r="BG19" t="inlineStr">
        <is>
          <t>air,enemies,ground,nonancient</t>
        </is>
      </c>
      <c r="BI19" t="n">
        <v>16329.2</v>
      </c>
      <c r="BJ19" t="n">
        <v>16329.2</v>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c r="BC20" t="n">
        <v>2</v>
      </c>
      <c r="BD20" t="inlineStr">
        <is>
          <t>yes</t>
        </is>
      </c>
      <c r="BE20" t="inlineStr">
        <is>
          <t>yes</t>
        </is>
      </c>
      <c r="BF20" t="inlineStr">
        <is>
          <t>air,enemies,ground,nonancient</t>
        </is>
      </c>
      <c r="BG20" t="inlineStr">
        <is>
          <t>air,enemies,nonancient</t>
        </is>
      </c>
      <c r="BH20" t="inlineStr">
        <is>
          <t>enemies,ground,nonancient</t>
        </is>
      </c>
      <c r="BJ20" t="n">
        <v>21721.5</v>
      </c>
    </row>
    <row r="21">
      <c r="A21" t="inlineStr">
        <is>
          <t>Reaperspawn</t>
        </is>
      </c>
      <c r="B21" t="inlineStr">
        <is>
          <t>h04G</t>
        </is>
      </c>
      <c r="D21" t="n">
        <v>50</v>
      </c>
      <c r="H21" t="inlineStr">
        <is>
          <t>Air Critical Strike II (A006); Sell Tower (A028); Vampiric Aura (ACvp)</t>
        </is>
      </c>
      <c r="J21" t="n">
        <v>287</v>
      </c>
      <c r="K21" t="n">
        <v>287</v>
      </c>
      <c r="L21" t="n">
        <v>287</v>
      </c>
      <c r="M21" t="n">
        <v>0.8</v>
      </c>
      <c r="N21" t="n">
        <v>125</v>
      </c>
      <c r="O21" t="inlineStr">
        <is>
          <t>chaos</t>
        </is>
      </c>
      <c r="P21" t="n">
        <v>358.8</v>
      </c>
      <c r="Z21" t="n">
        <v>2</v>
      </c>
      <c r="AA21" s="2" t="n">
        <v>1500</v>
      </c>
      <c r="AB21" t="n">
        <v>0</v>
      </c>
      <c r="AC21" t="inlineStr">
        <is>
          <t>normal</t>
        </is>
      </c>
      <c r="AD21" t="n">
        <v>286</v>
      </c>
      <c r="AE21" t="n">
        <v>1</v>
      </c>
      <c r="AF21" t="n">
        <v>1</v>
      </c>
      <c r="AG21" t="inlineStr">
        <is>
          <t>chaos</t>
        </is>
      </c>
      <c r="AH21" t="inlineStr">
        <is>
          <t>hhou</t>
        </is>
      </c>
      <c r="AI21" t="inlineStr">
        <is>
          <t>A006,A028,ACvp</t>
        </is>
      </c>
      <c r="AJ21" t="inlineStr">
        <is>
          <t>Up g rade to Reaperspawn</t>
        </is>
      </c>
      <c r="AN21" t="inlineStr">
        <is>
          <t>relocated</t>
        </is>
      </c>
      <c r="AO21" t="inlineStr">
        <is>
          <t>D2</t>
        </is>
      </c>
      <c r="AP21"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1" s="2" t="n">
        <v>358.8</v>
      </c>
      <c r="AR21" s="3" t="n">
        <v>2.5</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n">
        <v>1</v>
      </c>
      <c r="BD21" t="inlineStr">
        <is>
          <t>yes</t>
        </is>
      </c>
      <c r="BE21" t="inlineStr">
        <is>
          <t>yes</t>
        </is>
      </c>
      <c r="BF21" t="inlineStr">
        <is>
          <t>air,enemies,ground,nonancient</t>
        </is>
      </c>
      <c r="BG21" t="inlineStr">
        <is>
          <t>air,enemies,ground,nonancient</t>
        </is>
      </c>
      <c r="BI21" t="n">
        <v>897</v>
      </c>
      <c r="BJ21" t="n">
        <v>897</v>
      </c>
    </row>
  </sheetData>
  <autoFilter ref="A1:BJ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17</v>
      </c>
      <c r="H8" t="inlineStr">
        <is>
          <t>Tamed Game; Toxic Assassin; Frigid Dryad</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10</v>
      </c>
      <c r="H10" t="inlineStr">
        <is>
          <t>Axeman; Ruthless Warlord; Jailing Officer</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17</v>
      </c>
      <c r="H40" t="inlineStr">
        <is>
          <t>Orobos Slave; Frigid Dryad; Iron Mistress</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12</v>
      </c>
      <c r="H43" t="inlineStr">
        <is>
          <t>Equipped Peasant 1; Equipped Peasant 2; Equipped Peasant 3</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11</v>
      </c>
      <c r="H50" t="inlineStr">
        <is>
          <t>Myrkridon Trow; Hunter; Jailing Officer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4</v>
      </c>
      <c r="H61" t="inlineStr">
        <is>
          <t>Xavier; Sewer Barge; Frankenstone</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8</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2026-09-12T07:41:23Z</dcterms:created>
  <dcterms:modified xsi:type="dcterms:W3CDTF">2026-09-12T07:41:23Z</dcterms:modified>
</cp:coreProperties>
</file>