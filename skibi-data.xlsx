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'arcane'!$A$1:$AU$18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'hero_ranking'!$A$1:$J$8</definedName>
    <definedName name="_xlnm._FilterDatabase" localSheetId="6" hidden="1">'heroes'!$A$1:$H$36</definedName>
    <definedName name="_xlnm._FilterDatabase" localSheetId="7" hidden="1">'military'!$A$1:$AX$20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'other_towers'!$A$1:$AV$15</definedName>
    <definedName name="_xlnm._FilterDatabase" localSheetId="12" hidden="1">'ranger'!$A$1:$AU$20</definedName>
    <definedName name="_xlnm._FilterDatabase" localSheetId="13" hidden="1">'royal_family'!$A$1:$BA$28</definedName>
    <definedName name="_xlnm._FilterDatabase" localSheetId="14" hidden="1">'scarlet_knight'!$A$1:$AU$21</definedName>
    <definedName name="_xlnm._FilterDatabase" localSheetId="15" hidden="1">'specialist'!$A$1:$AY$24</definedName>
    <definedName name="_xlnm._FilterDatabase" localSheetId="16" hidden="1">'tempest'!$A$1:$BA$22</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U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row>
  </sheetData>
  <autoFilter ref="A1:AU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21" customWidth="1" min="3" max="3"/>
    <col width="14" customWidth="1" min="4" max="4"/>
    <col width="25" customWidth="1" min="5" max="5"/>
    <col width="15" customWidth="1" min="6" max="6"/>
    <col width="17" customWidth="1" min="7" max="7"/>
    <col width="29" customWidth="1" min="8" max="8"/>
    <col width="10" customWidth="1" min="9" max="9"/>
    <col width="16" customWidth="1" min="10" max="10"/>
  </cols>
  <sheetData>
    <row r="1">
      <c r="A1" s="1" t="inlineStr">
        <is>
          <t>hero</t>
        </is>
      </c>
      <c r="B1" s="1" t="inlineStr">
        <is>
          <t>towers</t>
        </is>
      </c>
      <c r="C1" s="1" t="inlineStr">
        <is>
          <t>median_dps_per_gold</t>
        </is>
      </c>
      <c r="D1" s="1" t="inlineStr">
        <is>
          <t>median_range</t>
        </is>
      </c>
      <c r="E1" s="1" t="inlineStr">
        <is>
          <t>median_coverage_adj_eff</t>
        </is>
      </c>
      <c r="F1" s="1" t="inlineStr">
        <is>
          <t>best_tower</t>
        </is>
      </c>
      <c r="G1" s="1" t="inlineStr">
        <is>
          <t>best_tower_cost</t>
        </is>
      </c>
      <c r="H1" s="1" t="inlineStr">
        <is>
          <t>best_tower_coverage_adj_eff</t>
        </is>
      </c>
      <c r="I1" s="1" t="inlineStr">
        <is>
          <t>peak_dps</t>
        </is>
      </c>
      <c r="J1" s="1" t="inlineStr">
        <is>
          <t>hero_abilities</t>
        </is>
      </c>
    </row>
    <row r="2">
      <c r="A2" t="inlineStr">
        <is>
          <t>scarlet_knight</t>
        </is>
      </c>
      <c r="B2" t="n">
        <v>18</v>
      </c>
      <c r="C2" t="n">
        <v>3.14</v>
      </c>
      <c r="D2" t="n">
        <v>1300</v>
      </c>
      <c r="E2" t="n">
        <v>9.31</v>
      </c>
      <c r="F2" t="inlineStr">
        <is>
          <t>Glacial Spike</t>
        </is>
      </c>
      <c r="G2" t="n">
        <v>935</v>
      </c>
      <c r="H2" t="n">
        <v>45.85</v>
      </c>
      <c r="I2" t="n">
        <v>13333</v>
      </c>
      <c r="J2" t="n">
        <v>5</v>
      </c>
    </row>
    <row r="3">
      <c r="A3" t="inlineStr">
        <is>
          <t>royal_family</t>
        </is>
      </c>
      <c r="B3" t="n">
        <v>20</v>
      </c>
      <c r="C3" t="n">
        <v>5.87</v>
      </c>
      <c r="D3" t="n">
        <v>700</v>
      </c>
      <c r="E3" t="n">
        <v>6.52</v>
      </c>
      <c r="F3" t="inlineStr">
        <is>
          <t>Martyr</t>
        </is>
      </c>
      <c r="G3" t="n">
        <v>260</v>
      </c>
      <c r="H3" t="n">
        <v>41.27</v>
      </c>
      <c r="I3" t="n">
        <v>6963</v>
      </c>
      <c r="J3" t="n">
        <v>5</v>
      </c>
    </row>
    <row r="4">
      <c r="A4" t="inlineStr">
        <is>
          <t>tempest</t>
        </is>
      </c>
      <c r="B4" t="n">
        <v>18</v>
      </c>
      <c r="C4" t="n">
        <v>4.12</v>
      </c>
      <c r="D4" t="n">
        <v>850</v>
      </c>
      <c r="E4" t="n">
        <v>5.84</v>
      </c>
      <c r="F4" t="inlineStr">
        <is>
          <t>Jenovaroth</t>
        </is>
      </c>
      <c r="G4" t="n">
        <v>800</v>
      </c>
      <c r="H4" t="n">
        <v>101.08</v>
      </c>
      <c r="I4" t="n">
        <v>21686</v>
      </c>
      <c r="J4" t="n">
        <v>5</v>
      </c>
    </row>
    <row r="5">
      <c r="A5" t="inlineStr">
        <is>
          <t>ranger</t>
        </is>
      </c>
      <c r="B5" t="n">
        <v>19</v>
      </c>
      <c r="C5" t="n">
        <v>5.11</v>
      </c>
      <c r="D5" t="n">
        <v>800</v>
      </c>
      <c r="E5" t="n">
        <v>5.82</v>
      </c>
      <c r="F5" t="inlineStr">
        <is>
          <t>Noir Heart</t>
        </is>
      </c>
      <c r="G5" t="n">
        <v>415</v>
      </c>
      <c r="H5" t="n">
        <v>68.42</v>
      </c>
      <c r="I5" t="n">
        <v>14924</v>
      </c>
      <c r="J5" t="n">
        <v>5</v>
      </c>
    </row>
    <row r="6">
      <c r="A6" t="inlineStr">
        <is>
          <t>specialist</t>
        </is>
      </c>
      <c r="B6" t="n">
        <v>19</v>
      </c>
      <c r="C6" t="n">
        <v>4.41</v>
      </c>
      <c r="D6" t="n">
        <v>800</v>
      </c>
      <c r="E6" t="n">
        <v>5.09</v>
      </c>
      <c r="F6" t="inlineStr">
        <is>
          <t>Apocalypse</t>
        </is>
      </c>
      <c r="G6" t="n">
        <v>800</v>
      </c>
      <c r="H6" t="n">
        <v>28.28</v>
      </c>
      <c r="I6" t="n">
        <v>7036</v>
      </c>
      <c r="J6" t="n">
        <v>5</v>
      </c>
    </row>
    <row r="7">
      <c r="A7" t="inlineStr">
        <is>
          <t>arcane</t>
        </is>
      </c>
      <c r="B7" t="n">
        <v>5</v>
      </c>
      <c r="C7" t="n">
        <v>2.47</v>
      </c>
      <c r="D7" t="n">
        <v>725</v>
      </c>
      <c r="E7" t="n">
        <v>3.24</v>
      </c>
      <c r="F7" t="inlineStr">
        <is>
          <t>Fire Hydra</t>
        </is>
      </c>
      <c r="G7" t="n">
        <v>255</v>
      </c>
      <c r="H7" t="n">
        <v>6.41</v>
      </c>
      <c r="I7" t="n">
        <v>1357</v>
      </c>
      <c r="J7" t="n">
        <v>5</v>
      </c>
    </row>
    <row r="8">
      <c r="A8" t="inlineStr">
        <is>
          <t>military</t>
        </is>
      </c>
      <c r="B8" t="n">
        <v>19</v>
      </c>
      <c r="C8" t="n">
        <v>9.59</v>
      </c>
      <c r="D8" t="n">
        <v>125</v>
      </c>
      <c r="E8" t="n">
        <v>0.59</v>
      </c>
      <c r="F8" t="inlineStr">
        <is>
          <t>Tamed Game</t>
        </is>
      </c>
      <c r="G8" t="n">
        <v>205</v>
      </c>
      <c r="H8" t="n">
        <v>20.54</v>
      </c>
      <c r="I8" t="n">
        <v>8932</v>
      </c>
      <c r="J8" t="n">
        <v>5</v>
      </c>
    </row>
  </sheetData>
  <autoFilter ref="A1:J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X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row>
  </sheetData>
  <autoFilter ref="A1:AX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V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s="2" t="n">
        <v>1500</v>
      </c>
      <c r="AF2" t="inlineStr">
        <is>
          <t>A03Y,A070,AChv,A028</t>
        </is>
      </c>
      <c r="AG2" t="inlineStr">
        <is>
          <t>Up g rade to Brahma's Fix-it Shop</t>
        </is>
      </c>
      <c r="AK2" t="inlineStr">
        <is>
          <t>Machine Critical Strike (A03Y); Super Regeneration (A070); Empathic Fix (AChv); Sell Tower (A028)</t>
        </is>
      </c>
      <c r="AL2" s="2" t="n">
        <v>116.7</v>
      </c>
      <c r="AM2" s="3" t="n">
        <v>1.8</v>
      </c>
      <c r="AN2" s="2">
        <f>AL2*AM2</f>
        <v/>
      </c>
      <c r="AO2" s="2" t="n"/>
      <c r="AP2" s="2" t="n"/>
      <c r="AQ2" s="2">
        <f>AN2+N(AO2)+N(AP2)</f>
        <v/>
      </c>
      <c r="AR2" s="3">
        <f>IF(C2=0,"",AQ2/C2)</f>
        <v/>
      </c>
      <c r="AS2" s="3">
        <f>IF(C2=0,"",AR2*(K2/725))</f>
        <v/>
      </c>
      <c r="AT2" s="3">
        <f>(K2/725)^2</f>
        <v/>
      </c>
      <c r="AU2" s="3">
        <f>IF(C2=0,"",AR2*AT2)</f>
        <v/>
      </c>
      <c r="AV2" t="inlineStr">
        <is>
          <t>basic attack</t>
        </is>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s="2" t="n">
        <v>1250</v>
      </c>
      <c r="AF3" t="inlineStr">
        <is>
          <t>A03C,A028</t>
        </is>
      </c>
      <c r="AK3" t="inlineStr">
        <is>
          <t>Vindicator II (A03C); Sell Tower (A028)</t>
        </is>
      </c>
      <c r="AL3" s="2" t="n">
        <v>33.3</v>
      </c>
      <c r="AM3" s="3" t="n">
        <v>3.5</v>
      </c>
      <c r="AN3" s="2">
        <f>AL3*AM3</f>
        <v/>
      </c>
      <c r="AO3" s="2" t="n"/>
      <c r="AP3" s="2" t="n"/>
      <c r="AQ3" s="2">
        <f>AN3+N(AO3)+N(AP3)</f>
        <v/>
      </c>
      <c r="AR3" s="3">
        <f>IF(C3=0,"",AQ3/C3)</f>
        <v/>
      </c>
      <c r="AS3" s="3">
        <f>IF(C3=0,"",AR3*(K3/725))</f>
        <v/>
      </c>
      <c r="AT3" s="3">
        <f>(K3/725)^2</f>
        <v/>
      </c>
      <c r="AU3" s="3">
        <f>IF(C3=0,"",AR3*AT3)</f>
        <v/>
      </c>
      <c r="AV3" t="inlineStr">
        <is>
          <t>basic attack</t>
        </is>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s="2" t="n">
        <v>1500</v>
      </c>
      <c r="AF4" t="inlineStr">
        <is>
          <t>A03C,A004,A028</t>
        </is>
      </c>
      <c r="AK4" t="inlineStr">
        <is>
          <t>Vindicator II (A03C); Versatile Critical Strike I (A004); Sell Tower (A028)</t>
        </is>
      </c>
      <c r="AL4" s="2" t="n">
        <v>35</v>
      </c>
      <c r="AM4" s="3" t="n">
        <v>3.5</v>
      </c>
      <c r="AN4" s="2">
        <f>AL4*AM4</f>
        <v/>
      </c>
      <c r="AO4" s="2" t="n"/>
      <c r="AP4" s="2" t="n"/>
      <c r="AQ4" s="2">
        <f>AN4+N(AO4)+N(AP4)</f>
        <v/>
      </c>
      <c r="AR4" s="3">
        <f>IF(C4=0,"",AQ4/C4)</f>
        <v/>
      </c>
      <c r="AS4" s="3">
        <f>IF(C4=0,"",AR4*(K4/725))</f>
        <v/>
      </c>
      <c r="AT4" s="3">
        <f>(K4/725)^2</f>
        <v/>
      </c>
      <c r="AU4" s="3">
        <f>IF(C4=0,"",AR4*AT4)</f>
        <v/>
      </c>
      <c r="AV4" t="inlineStr">
        <is>
          <t>basic attack</t>
        </is>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s="2" t="n">
        <v>1750</v>
      </c>
      <c r="AF5" t="inlineStr">
        <is>
          <t>A03C,A01E,A028</t>
        </is>
      </c>
      <c r="AK5" t="inlineStr">
        <is>
          <t>Vindicator II (A03C); Versatile Critical Strike II (A01E); Sell Tower (A028)</t>
        </is>
      </c>
      <c r="AL5" s="2" t="n">
        <v>40</v>
      </c>
      <c r="AM5" s="3" t="n">
        <v>3.5</v>
      </c>
      <c r="AN5" s="2">
        <f>AL5*AM5</f>
        <v/>
      </c>
      <c r="AO5" s="2" t="n"/>
      <c r="AP5" s="2" t="n"/>
      <c r="AQ5" s="2">
        <f>AN5+N(AO5)+N(AP5)</f>
        <v/>
      </c>
      <c r="AR5" s="3">
        <f>IF(C5=0,"",AQ5/C5)</f>
        <v/>
      </c>
      <c r="AS5" s="3">
        <f>IF(C5=0,"",AR5*(K5/725))</f>
        <v/>
      </c>
      <c r="AT5" s="3">
        <f>(K5/725)^2</f>
        <v/>
      </c>
      <c r="AU5" s="3">
        <f>IF(C5=0,"",AR5*AT5)</f>
        <v/>
      </c>
      <c r="AV5" t="inlineStr">
        <is>
          <t>basic attack</t>
        </is>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s="2" t="n">
        <v>2000</v>
      </c>
      <c r="AF6" t="inlineStr">
        <is>
          <t>A02Z,A01E,A028</t>
        </is>
      </c>
      <c r="AK6" t="inlineStr">
        <is>
          <t>Vindicator III (A02Z); Versatile Critical Strike II (A01E); Sell Tower (A028)</t>
        </is>
      </c>
      <c r="AL6" s="2" t="n">
        <v>46.7</v>
      </c>
      <c r="AM6" s="3" t="n">
        <v>5.5</v>
      </c>
      <c r="AN6" s="2">
        <f>AL6*AM6</f>
        <v/>
      </c>
      <c r="AO6" s="2" t="n"/>
      <c r="AP6" s="2" t="n"/>
      <c r="AQ6" s="2">
        <f>AN6+N(AO6)+N(AP6)</f>
        <v/>
      </c>
      <c r="AR6" s="3">
        <f>IF(C6=0,"",AQ6/C6)</f>
        <v/>
      </c>
      <c r="AS6" s="3">
        <f>IF(C6=0,"",AR6*(K6/725))</f>
        <v/>
      </c>
      <c r="AT6" s="3">
        <f>(K6/725)^2</f>
        <v/>
      </c>
      <c r="AU6" s="3">
        <f>IF(C6=0,"",AR6*AT6)</f>
        <v/>
      </c>
      <c r="AV6" t="inlineStr">
        <is>
          <t>basic attack</t>
        </is>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s="2" t="n">
        <v>2250</v>
      </c>
      <c r="AF7" t="inlineStr">
        <is>
          <t>ANbh,A02Z,A01E,A028</t>
        </is>
      </c>
      <c r="AK7" t="inlineStr">
        <is>
          <t>Bash I (ANbh); Vindicator III (A02Z); Versatile Critical Strike II (A01E); Sell Tower (A028)</t>
        </is>
      </c>
      <c r="AL7" s="2" t="n">
        <v>71.7</v>
      </c>
      <c r="AM7" s="3" t="n">
        <v>5.5</v>
      </c>
      <c r="AN7" s="2">
        <f>AL7*AM7</f>
        <v/>
      </c>
      <c r="AO7" s="2" t="n">
        <v>16.7</v>
      </c>
      <c r="AP7" s="2" t="n"/>
      <c r="AQ7" s="2">
        <f>AN7+N(AO7)+N(AP7)</f>
        <v/>
      </c>
      <c r="AR7" s="3">
        <f>IF(C7=0,"",AQ7/C7)</f>
        <v/>
      </c>
      <c r="AS7" s="3">
        <f>IF(C7=0,"",AR7*(K7/725))</f>
        <v/>
      </c>
      <c r="AT7" s="3">
        <f>(K7/725)^2</f>
        <v/>
      </c>
      <c r="AU7" s="3">
        <f>IF(C7=0,"",AR7*AT7)</f>
        <v/>
      </c>
      <c r="AV7" t="inlineStr">
        <is>
          <t>basic attack</t>
        </is>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s="2" t="n">
        <v>1500</v>
      </c>
      <c r="AF8" t="inlineStr">
        <is>
          <t>A03W,A028,Afra</t>
        </is>
      </c>
      <c r="AG8" t="inlineStr">
        <is>
          <t>Up g rade to Exiled Soul</t>
        </is>
      </c>
      <c r="AK8" t="inlineStr">
        <is>
          <t>Regeneration (A03W); Sell Tower (A028); Frost I (Afra)</t>
        </is>
      </c>
      <c r="AL8" s="2" t="n">
        <v>280</v>
      </c>
      <c r="AM8" s="3" t="n">
        <v>1</v>
      </c>
      <c r="AN8" s="2">
        <f>AL8*AM8</f>
        <v/>
      </c>
      <c r="AO8" s="2" t="n"/>
      <c r="AP8" s="2" t="n"/>
      <c r="AQ8" s="2">
        <f>AN8+N(AO8)+N(AP8)</f>
        <v/>
      </c>
      <c r="AR8" s="3">
        <f>IF(C8=0,"",AQ8/C8)</f>
        <v/>
      </c>
      <c r="AS8" s="3">
        <f>IF(C8=0,"",AR8*(K8/725))</f>
        <v/>
      </c>
      <c r="AT8" s="3">
        <f>(K8/725)^2</f>
        <v/>
      </c>
      <c r="AU8" s="3">
        <f>IF(C8=0,"",AR8*AT8)</f>
        <v/>
      </c>
      <c r="AV8" t="inlineStr">
        <is>
          <t>basic attack</t>
        </is>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s="2"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Sell Tower (A028); Air Critical Strike II (A006); Slow Poison II (A008)</t>
        </is>
      </c>
      <c r="AL9" s="2" t="n">
        <v>425.7</v>
      </c>
      <c r="AM9" s="3" t="n">
        <v>2.5</v>
      </c>
      <c r="AN9" s="2">
        <f>AL9*AM9</f>
        <v/>
      </c>
      <c r="AO9" s="2" t="n"/>
      <c r="AP9" s="2" t="n">
        <v>36</v>
      </c>
      <c r="AQ9" s="2">
        <f>AN9+N(AO9)+N(AP9)</f>
        <v/>
      </c>
      <c r="AR9" s="3">
        <f>IF(C9=0,"",AQ9/C9)</f>
        <v/>
      </c>
      <c r="AS9" s="3">
        <f>IF(C9=0,"",AR9*(K9/725))</f>
        <v/>
      </c>
      <c r="AT9" s="3">
        <f>(K9/725)^2</f>
        <v/>
      </c>
      <c r="AU9" s="3">
        <f>IF(C9=0,"",AR9*AT9)</f>
        <v/>
      </c>
      <c r="AV9" t="inlineStr">
        <is>
          <t>basic attack</t>
        </is>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s="2" t="n">
        <v>1250</v>
      </c>
      <c r="AF10" t="inlineStr">
        <is>
          <t>ANbh,A028</t>
        </is>
      </c>
      <c r="AG10" t="inlineStr">
        <is>
          <t>U pgrade to Footman</t>
        </is>
      </c>
      <c r="AK10" t="inlineStr">
        <is>
          <t>Bash I (ANbh); Sell Tower (A028)</t>
        </is>
      </c>
      <c r="AL10" s="2" t="n">
        <v>290</v>
      </c>
      <c r="AM10" s="3" t="n">
        <v>1</v>
      </c>
      <c r="AN10" s="2">
        <f>AL10*AM10</f>
        <v/>
      </c>
      <c r="AO10" s="2" t="n">
        <v>33.3</v>
      </c>
      <c r="AP10" s="2" t="n"/>
      <c r="AQ10" s="2">
        <f>AN10+N(AO10)+N(AP10)</f>
        <v/>
      </c>
      <c r="AR10" s="3">
        <f>IF(C10=0,"",AQ10/C10)</f>
        <v/>
      </c>
      <c r="AS10" s="3">
        <f>IF(C10=0,"",AR10*(K10/725))</f>
        <v/>
      </c>
      <c r="AT10" s="3">
        <f>(K10/725)^2</f>
        <v/>
      </c>
      <c r="AU10" s="3">
        <f>IF(C10=0,"",AR10*AT10)</f>
        <v/>
      </c>
      <c r="AV10" t="inlineStr">
        <is>
          <t>basic attack</t>
        </is>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s="2" t="n">
        <v>1500</v>
      </c>
      <c r="AF11" t="inlineStr">
        <is>
          <t>Afbb,Aabr,AIva,A01E,A028</t>
        </is>
      </c>
      <c r="AG11" t="inlineStr">
        <is>
          <t>U pgrade to Heartseeker</t>
        </is>
      </c>
      <c r="AK11" t="inlineStr">
        <is>
          <t>Sunder Armor (Afbb); (Dummy Ability - Life Steal) (Aabr); AIva (AIva); Versatile Critical Strike II (A01E); Sell Tower (A028)</t>
        </is>
      </c>
      <c r="AL11" s="2" t="n">
        <v>51</v>
      </c>
      <c r="AM11" s="3" t="n">
        <v>2.05</v>
      </c>
      <c r="AN11" s="2">
        <f>AL11*AM11</f>
        <v/>
      </c>
      <c r="AO11" s="2" t="n"/>
      <c r="AP11" s="2" t="n"/>
      <c r="AQ11" s="2">
        <f>AN11+N(AO11)+N(AP11)</f>
        <v/>
      </c>
      <c r="AR11" s="3">
        <f>IF(C11=0,"",AQ11/C11)</f>
        <v/>
      </c>
      <c r="AS11" s="3">
        <f>IF(C11=0,"",AR11*(K11/725))</f>
        <v/>
      </c>
      <c r="AT11" s="3">
        <f>(K11/725)^2</f>
        <v/>
      </c>
      <c r="AU11" s="3">
        <f>IF(C11=0,"",AR11*AT11)</f>
        <v/>
      </c>
      <c r="AV11" t="inlineStr">
        <is>
          <t>basic attack</t>
        </is>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s="2" t="n">
        <v>2500</v>
      </c>
      <c r="AF12" t="inlineStr">
        <is>
          <t>ANcl,A004,A02X,A014,A028</t>
        </is>
      </c>
      <c r="AG12" t="inlineStr">
        <is>
          <t>Up g rade to Krotas - 1325</t>
        </is>
      </c>
      <c r="AK12" t="inlineStr">
        <is>
          <t>Activate / Deactivate Mana Detection (ANcl); Versatile Critical Strike I (A004); Gooify (A02X); Combustion (A014); Sell Tower (A028)</t>
        </is>
      </c>
      <c r="AL12" s="2" t="n">
        <v>2589.4</v>
      </c>
      <c r="AM12" s="3" t="n">
        <v>1.52</v>
      </c>
      <c r="AN12" s="2">
        <f>AL12*AM12</f>
        <v/>
      </c>
      <c r="AO12" s="2" t="n"/>
      <c r="AP12" s="2" t="n"/>
      <c r="AQ12" s="2">
        <f>AN12+N(AO12)+N(AP12)</f>
        <v/>
      </c>
      <c r="AR12" s="3">
        <f>IF(C12=0,"",AQ12/C12)</f>
        <v/>
      </c>
      <c r="AS12" s="3">
        <f>IF(C12=0,"",AR12*(K12/725))</f>
        <v/>
      </c>
      <c r="AT12" s="3">
        <f>(K12/725)^2</f>
        <v/>
      </c>
      <c r="AU12" s="3">
        <f>IF(C12=0,"",AR12*AT12)</f>
        <v/>
      </c>
      <c r="AV12" t="inlineStr">
        <is>
          <t>basic attack</t>
        </is>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s="2"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Sell Tower (A028); Vampiric Aura (ACvp)</t>
        </is>
      </c>
      <c r="AL13" s="2" t="n">
        <v>358.8</v>
      </c>
      <c r="AM13" s="3" t="n">
        <v>2.5</v>
      </c>
      <c r="AN13" s="2">
        <f>AL13*AM13</f>
        <v/>
      </c>
      <c r="AO13" s="2" t="n"/>
      <c r="AP13" s="2" t="n"/>
      <c r="AQ13" s="2">
        <f>AN13+N(AO13)+N(AP13)</f>
        <v/>
      </c>
      <c r="AR13" s="3">
        <f>IF(C13=0,"",AQ13/C13)</f>
        <v/>
      </c>
      <c r="AS13" s="3">
        <f>IF(C13=0,"",AR13*(K13/725))</f>
        <v/>
      </c>
      <c r="AT13" s="3">
        <f>(K13/725)^2</f>
        <v/>
      </c>
      <c r="AU13" s="3">
        <f>IF(C13=0,"",AR13*AT13)</f>
        <v/>
      </c>
      <c r="AV13" t="inlineStr">
        <is>
          <t>basic attack</t>
        </is>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s="2"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Sell Tower (A028); Frost I (Afra)</t>
        </is>
      </c>
      <c r="AL14" s="2" t="n">
        <v>289.4</v>
      </c>
      <c r="AM14" s="3" t="n">
        <v>1.8</v>
      </c>
      <c r="AN14" s="2">
        <f>AL14*AM14</f>
        <v/>
      </c>
      <c r="AO14" s="2" t="n"/>
      <c r="AP14" s="2" t="n"/>
      <c r="AQ14" s="2">
        <f>AN14+N(AO14)+N(AP14)</f>
        <v/>
      </c>
      <c r="AR14" s="3">
        <f>IF(C14=0,"",AQ14/C14)</f>
        <v/>
      </c>
      <c r="AS14" s="3">
        <f>IF(C14=0,"",AR14*(K14/725))</f>
        <v/>
      </c>
      <c r="AT14" s="3">
        <f>(K14/725)^2</f>
        <v/>
      </c>
      <c r="AU14" s="3">
        <f>IF(C14=0,"",AR14*AT14)</f>
        <v/>
      </c>
      <c r="AV14" t="inlineStr">
        <is>
          <t>basic attack</t>
        </is>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s="2" t="n">
        <v>2500</v>
      </c>
      <c r="AF15" t="inlineStr">
        <is>
          <t>ANcl,Afrz,Aap1,AIm2,A028</t>
        </is>
      </c>
      <c r="AG15" t="inlineStr">
        <is>
          <t>U pgrade to Von Chillspeak - 1225</t>
        </is>
      </c>
      <c r="AK15" t="inlineStr">
        <is>
          <t>Activate / Deactivate Mana Detection (ANcl); Stone Cold (Afrz); Grounding Curse (Aap1); Cold Snap (AIm2); Sell Tower (A028)</t>
        </is>
      </c>
      <c r="AL15" s="2" t="n">
        <v>6000</v>
      </c>
      <c r="AM15" s="3" t="n">
        <v>1</v>
      </c>
      <c r="AN15" s="2">
        <f>AL15*AM15</f>
        <v/>
      </c>
      <c r="AO15" s="2" t="n"/>
      <c r="AP15" s="2" t="n">
        <v>1000</v>
      </c>
      <c r="AQ15" s="2">
        <f>AN15+N(AO15)+N(AP15)</f>
        <v/>
      </c>
      <c r="AR15" s="3">
        <f>IF(C15=0,"",AQ15/C15)</f>
        <v/>
      </c>
      <c r="AS15" s="3">
        <f>IF(C15=0,"",AR15*(K15/725))</f>
        <v/>
      </c>
      <c r="AT15" s="3">
        <f>(K15/725)^2</f>
        <v/>
      </c>
      <c r="AU15" s="3">
        <f>IF(C15=0,"",AR15*AT15)</f>
        <v/>
      </c>
      <c r="AV15" t="inlineStr">
        <is>
          <t>basic attack</t>
        </is>
      </c>
    </row>
  </sheetData>
  <autoFilter ref="A1:AV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U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row>
  </sheetData>
  <autoFilter ref="A1:AU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A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Q2" s="2" t="n">
        <v>2147.1</v>
      </c>
      <c r="AR2" s="3" t="n">
        <v>1</v>
      </c>
      <c r="AS2" s="2">
        <f>AQ2*AR2</f>
        <v/>
      </c>
      <c r="AT2" s="3">
        <f>IF(D2=0,"",AY2/D2)</f>
        <v/>
      </c>
      <c r="AU2" s="3">
        <f>(N2/725)^2</f>
        <v/>
      </c>
      <c r="AV2" s="3">
        <f>IF(D2=0,"",AT2*AU2)</f>
        <v/>
      </c>
      <c r="AW2" s="2" t="n"/>
      <c r="AX2" s="2" t="n"/>
      <c r="AY2" s="2">
        <f>AS2+N(AW2)+N(AX2)</f>
        <v/>
      </c>
      <c r="AZ2" s="3">
        <f>IF(D2=0,"",AT2*(N2/725))</f>
        <v/>
      </c>
      <c r="BA2" t="inlineStr">
        <is>
          <t>basic attack</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row>
    <row r="4">
      <c r="A4" t="inlineStr">
        <is>
          <t>Loki</t>
        </is>
      </c>
      <c r="B4" t="inlineStr">
        <is>
          <t>h02H</t>
        </is>
      </c>
      <c r="C4" t="n">
        <v>2</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row>
    <row r="23">
      <c r="A23" t="inlineStr">
        <is>
          <t>Tyr Spirit</t>
        </is>
      </c>
      <c r="AA23" s="2" t="n"/>
      <c r="AN23" t="inlineStr">
        <is>
          <t>hand capture only — no extracted counterpart</t>
        </is>
      </c>
      <c r="AO23" t="inlineStr">
        <is>
          <t>D3</t>
        </is>
      </c>
      <c r="AP23"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row r="24">
      <c r="A24" t="inlineStr">
        <is>
          <t>Royal Base II</t>
        </is>
      </c>
      <c r="AA24" s="2" t="n"/>
      <c r="AN24" t="inlineStr">
        <is>
          <t>hand capture only — no extracted counterpart</t>
        </is>
      </c>
      <c r="AP24"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4" s="2" t="n"/>
      <c r="AR24" s="3" t="n">
        <v>1</v>
      </c>
      <c r="AS24" s="2">
        <f>AQ24*AR24</f>
        <v/>
      </c>
      <c r="AT24" s="3">
        <f>IF(D24=0,"",AY24/D24)</f>
        <v/>
      </c>
      <c r="AU24" s="3">
        <f>(N24/725)^2</f>
        <v/>
      </c>
      <c r="AV24" s="3">
        <f>IF(D24=0,"",AT24*AU24)</f>
        <v/>
      </c>
      <c r="AW24" s="2" t="n"/>
      <c r="AX24" s="2" t="n"/>
      <c r="AY24" s="2">
        <f>AS24+N(AW24)+N(AX24)</f>
        <v/>
      </c>
      <c r="AZ24" s="3">
        <f>IF(D24=0,"",AT24*(N24/725))</f>
        <v/>
      </c>
      <c r="BA24" t="inlineStr">
        <is>
          <t>no damage figure — support/on-death, or a bonus that needs a basic attack it lacks</t>
        </is>
      </c>
    </row>
    <row r="25">
      <c r="A25" t="inlineStr">
        <is>
          <t>Peepy Bronzebeard</t>
        </is>
      </c>
      <c r="AA25" s="2" t="n"/>
      <c r="AN25" t="inlineStr">
        <is>
          <t>hand capture only — no extracted counterpart</t>
        </is>
      </c>
      <c r="AP25"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25" s="2" t="n"/>
      <c r="AR25" s="3" t="n">
        <v>1</v>
      </c>
      <c r="AS25" s="2">
        <f>AQ25*AR25</f>
        <v/>
      </c>
      <c r="AT25" s="3">
        <f>IF(D25=0,"",AY25/D25)</f>
        <v/>
      </c>
      <c r="AU25" s="3">
        <f>(N25/725)^2</f>
        <v/>
      </c>
      <c r="AV25" s="3">
        <f>IF(D25=0,"",AT25*AU25)</f>
        <v/>
      </c>
      <c r="AW25" s="2" t="n"/>
      <c r="AX25" s="2" t="n"/>
      <c r="AY25" s="2">
        <f>AS25+N(AW25)+N(AX25)</f>
        <v/>
      </c>
      <c r="AZ25" s="3">
        <f>IF(D25=0,"",AT25*(N25/725))</f>
        <v/>
      </c>
      <c r="BA25" t="inlineStr">
        <is>
          <t>no damage figure — support/on-death, or a bonus that needs a basic attack it lacks</t>
        </is>
      </c>
    </row>
    <row r="26">
      <c r="A26" t="inlineStr">
        <is>
          <t>Grayson Fort Buster</t>
        </is>
      </c>
      <c r="AA26" s="2" t="n"/>
      <c r="AN26" t="inlineStr">
        <is>
          <t>hand capture only — no extracted counterpart</t>
        </is>
      </c>
      <c r="AP26"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6" s="2" t="n"/>
      <c r="AR26" s="3" t="n">
        <v>1</v>
      </c>
      <c r="AS26" s="2">
        <f>AQ26*AR26</f>
        <v/>
      </c>
      <c r="AT26" s="3">
        <f>IF(D26=0,"",AY26/D26)</f>
        <v/>
      </c>
      <c r="AU26" s="3">
        <f>(N26/725)^2</f>
        <v/>
      </c>
      <c r="AV26" s="3">
        <f>IF(D26=0,"",AT26*AU26)</f>
        <v/>
      </c>
      <c r="AW26" s="2" t="n"/>
      <c r="AX26" s="2" t="n"/>
      <c r="AY26" s="2">
        <f>AS26+N(AW26)+N(AX26)</f>
        <v/>
      </c>
      <c r="AZ26" s="3">
        <f>IF(D26=0,"",AT26*(N26/725))</f>
        <v/>
      </c>
      <c r="BA26" t="inlineStr">
        <is>
          <t>no damage figure — support/on-death, or a bonus that needs a basic attack it lacks</t>
        </is>
      </c>
    </row>
    <row r="27">
      <c r="A27" t="inlineStr">
        <is>
          <t>Lilliana May</t>
        </is>
      </c>
      <c r="AA27" s="2" t="n"/>
      <c r="AN27" t="inlineStr">
        <is>
          <t>hand capture only — no extracted counterpart</t>
        </is>
      </c>
      <c r="AP27"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7" s="2" t="n"/>
      <c r="AR27" s="3" t="n">
        <v>1</v>
      </c>
      <c r="AS27" s="2">
        <f>AQ27*AR27</f>
        <v/>
      </c>
      <c r="AT27" s="3">
        <f>IF(D27=0,"",AY27/D27)</f>
        <v/>
      </c>
      <c r="AU27" s="3">
        <f>(N27/725)^2</f>
        <v/>
      </c>
      <c r="AV27" s="3">
        <f>IF(D27=0,"",AT27*AU27)</f>
        <v/>
      </c>
      <c r="AW27" s="2" t="n"/>
      <c r="AX27" s="2" t="n"/>
      <c r="AY27" s="2">
        <f>AS27+N(AW27)+N(AX27)</f>
        <v/>
      </c>
      <c r="AZ27" s="3">
        <f>IF(D27=0,"",AT27*(N27/725))</f>
        <v/>
      </c>
      <c r="BA27" t="inlineStr">
        <is>
          <t>no damage figure — support/on-death, or a bonus that needs a basic attack it lacks</t>
        </is>
      </c>
    </row>
    <row r="28">
      <c r="A28" t="inlineStr">
        <is>
          <t>Petrified Shell</t>
        </is>
      </c>
      <c r="AA28" s="2" t="n"/>
      <c r="AN28" t="inlineStr">
        <is>
          <t>hand capture only — no extracted counterpart</t>
        </is>
      </c>
      <c r="AP28"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28" s="2" t="n"/>
      <c r="AR28" s="3" t="n">
        <v>1</v>
      </c>
      <c r="AS28" s="2">
        <f>AQ28*AR28</f>
        <v/>
      </c>
      <c r="AT28" s="3">
        <f>IF(D28=0,"",AY28/D28)</f>
        <v/>
      </c>
      <c r="AU28" s="3">
        <f>(N28/725)^2</f>
        <v/>
      </c>
      <c r="AV28" s="3">
        <f>IF(D28=0,"",AT28*AU28)</f>
        <v/>
      </c>
      <c r="AW28" s="2" t="n"/>
      <c r="AX28" s="2" t="n"/>
      <c r="AY28" s="2">
        <f>AS28+N(AW28)+N(AX28)</f>
        <v/>
      </c>
      <c r="AZ28" s="3">
        <f>IF(D28=0,"",AT28*(N28/725))</f>
        <v/>
      </c>
      <c r="BA28" t="inlineStr">
        <is>
          <t>no damage figure — support/on-death, or a bonus that needs a basic attack it lacks</t>
        </is>
      </c>
    </row>
  </sheetData>
  <autoFilter ref="A1:BA2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U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row>
  </sheetData>
  <autoFilter ref="A1:AU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Y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O5" s="2" t="n">
        <v>477.8</v>
      </c>
      <c r="AP5" s="3" t="n">
        <v>1</v>
      </c>
      <c r="AQ5" s="2">
        <f>AO5*AP5</f>
        <v/>
      </c>
      <c r="AR5" s="3">
        <f>IF(D5=0,"",AW5/D5)</f>
        <v/>
      </c>
      <c r="AS5" s="3">
        <f>(N5/725)^2</f>
        <v/>
      </c>
      <c r="AT5" s="3">
        <f>IF(D5=0,"",AR5*AS5)</f>
        <v/>
      </c>
      <c r="AU5" s="2" t="n"/>
      <c r="AV5" s="2" t="n"/>
      <c r="AW5" s="2">
        <f>AQ5+N(AU5)+N(AV5)</f>
        <v/>
      </c>
      <c r="AX5" s="3">
        <f>IF(D5=0,"",AR5*(N5/725))</f>
        <v/>
      </c>
      <c r="AY5" t="inlineStr">
        <is>
          <t>basic attack</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row>
    <row r="21">
      <c r="A21" t="inlineStr">
        <is>
          <t>Sewage Surprise</t>
        </is>
      </c>
      <c r="AA21" s="2" t="n"/>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 Fix It Shop</t>
        </is>
      </c>
      <c r="AA22" s="2" t="n"/>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c r="AP22" s="3" t="n">
        <v>1</v>
      </c>
      <c r="AQ22" s="2">
        <f>AO22*AP22</f>
        <v/>
      </c>
      <c r="AR22" s="3">
        <f>IF(D22=0,"",AW22/D22)</f>
        <v/>
      </c>
      <c r="AS22" s="3">
        <f>(N22/725)^2</f>
        <v/>
      </c>
      <c r="AT22" s="3">
        <f>IF(D22=0,"",AR22*AS22)</f>
        <v/>
      </c>
      <c r="AU22" s="2" t="n"/>
      <c r="AV22" s="2" t="n"/>
      <c r="AW22" s="2">
        <f>AQ22+N(AU22)+N(AV22)</f>
        <v/>
      </c>
      <c r="AX22" s="3">
        <f>IF(D22=0,"",AR22*(N22/725))</f>
        <v/>
      </c>
      <c r="AY22" t="inlineStr">
        <is>
          <t>no damage figure — support/on-death, or a bonus that needs a basic attack it lacks</t>
        </is>
      </c>
    </row>
    <row r="23">
      <c r="A23" t="inlineStr">
        <is>
          <t>Giga Spikes</t>
        </is>
      </c>
      <c r="AA23" s="2" t="n"/>
      <c r="AL23" t="inlineStr">
        <is>
          <t>hand capture only — no extracted counterpart</t>
        </is>
      </c>
      <c r="AM23" t="inlineStr">
        <is>
          <t>D4</t>
        </is>
      </c>
      <c r="AN23"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23" s="2" t="n"/>
      <c r="AP23" s="3" t="n">
        <v>1</v>
      </c>
      <c r="AQ23" s="2">
        <f>AO23*AP23</f>
        <v/>
      </c>
      <c r="AR23" s="3">
        <f>IF(D23=0,"",AW23/D23)</f>
        <v/>
      </c>
      <c r="AS23" s="3">
        <f>(N23/725)^2</f>
        <v/>
      </c>
      <c r="AT23" s="3">
        <f>IF(D23=0,"",AR23*AS23)</f>
        <v/>
      </c>
      <c r="AU23" s="2" t="n"/>
      <c r="AV23" s="2" t="n"/>
      <c r="AW23" s="2">
        <f>AQ23+N(AU23)+N(AV23)</f>
        <v/>
      </c>
      <c r="AX23" s="3">
        <f>IF(D23=0,"",AR23*(N23/725))</f>
        <v/>
      </c>
      <c r="AY23" t="inlineStr">
        <is>
          <t>no damage figure — support/on-death, or a bonus that needs a basic attack it lacks</t>
        </is>
      </c>
    </row>
    <row r="24">
      <c r="A24" t="inlineStr">
        <is>
          <t>Specialist Base</t>
        </is>
      </c>
      <c r="AA24" s="2" t="n"/>
      <c r="AL24" t="inlineStr">
        <is>
          <t>hand capture only — no extracted counterpart</t>
        </is>
      </c>
      <c r="AN24"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4" s="2" t="n"/>
      <c r="AP24" s="3" t="n">
        <v>1</v>
      </c>
      <c r="AQ24" s="2">
        <f>AO24*AP24</f>
        <v/>
      </c>
      <c r="AR24" s="3">
        <f>IF(D24=0,"",AW24/D24)</f>
        <v/>
      </c>
      <c r="AS24" s="3">
        <f>(N24/725)^2</f>
        <v/>
      </c>
      <c r="AT24" s="3">
        <f>IF(D24=0,"",AR24*AS24)</f>
        <v/>
      </c>
      <c r="AU24" s="2" t="n"/>
      <c r="AV24" s="2" t="n"/>
      <c r="AW24" s="2">
        <f>AQ24+N(AU24)+N(AV24)</f>
        <v/>
      </c>
      <c r="AX24" s="3">
        <f>IF(D24=0,"",AR24*(N24/725))</f>
        <v/>
      </c>
      <c r="AY24" t="inlineStr">
        <is>
          <t>no damage figure — support/on-death, or a bonus that needs a basic attack it lacks</t>
        </is>
      </c>
    </row>
  </sheetData>
  <autoFilter ref="A1:AY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A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row>
    <row r="21">
      <c r="A21" t="inlineStr">
        <is>
          <t>Father Dragon</t>
        </is>
      </c>
      <c r="AA21" s="2" t="n"/>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Q21" s="2" t="n"/>
      <c r="AR21" s="3" t="n">
        <v>1</v>
      </c>
      <c r="AS21" s="2">
        <f>AQ21*AR21</f>
        <v/>
      </c>
      <c r="AT21" s="3">
        <f>IF(D21=0,"",AY21/D21)</f>
        <v/>
      </c>
      <c r="AU21" s="3">
        <f>(N21/725)^2</f>
        <v/>
      </c>
      <c r="AV21" s="3">
        <f>IF(D21=0,"",AT21*AU21)</f>
        <v/>
      </c>
      <c r="AW21" s="2" t="n"/>
      <c r="AX21" s="2" t="n"/>
      <c r="AY21" s="2">
        <f>AS21+N(AW21)+N(AX21)</f>
        <v/>
      </c>
      <c r="AZ21" s="3">
        <f>IF(D21=0,"",AT21*(N21/725))</f>
        <v/>
      </c>
      <c r="BA21" t="inlineStr">
        <is>
          <t>no damage figure — support/on-death, or a bonus that needs a basic attack it lacks</t>
        </is>
      </c>
    </row>
    <row r="22">
      <c r="A22" t="inlineStr">
        <is>
          <t>Reaper Spawn</t>
        </is>
      </c>
      <c r="AA22" s="2" t="n"/>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2" s="2" t="n"/>
      <c r="AR22" s="3" t="n">
        <v>1</v>
      </c>
      <c r="AS22" s="2">
        <f>AQ22*AR22</f>
        <v/>
      </c>
      <c r="AT22" s="3">
        <f>IF(D22=0,"",AY22/D22)</f>
        <v/>
      </c>
      <c r="AU22" s="3">
        <f>(N22/725)^2</f>
        <v/>
      </c>
      <c r="AV22" s="3">
        <f>IF(D22=0,"",AT22*AU22)</f>
        <v/>
      </c>
      <c r="AW22" s="2" t="n"/>
      <c r="AX22" s="2" t="n"/>
      <c r="AY22" s="2">
        <f>AS22+N(AW22)+N(AX22)</f>
        <v/>
      </c>
      <c r="AZ22" s="3">
        <f>IF(D22=0,"",AT22*(N22/725))</f>
        <v/>
      </c>
      <c r="BA22" t="inlineStr">
        <is>
          <t>no damage figure — support/on-death, or a bonus that needs a basic attack it lacks</t>
        </is>
      </c>
    </row>
  </sheetData>
  <autoFilter ref="A1:BA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18</v>
      </c>
      <c r="H8" t="inlineStr">
        <is>
          <t>Tamed Game; Toxic Assassin; Father Dragon</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11</v>
      </c>
      <c r="H10" t="inlineStr">
        <is>
          <t>Axeman; Ruthless Warlord; Father Dragon</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18</v>
      </c>
      <c r="H40" t="inlineStr">
        <is>
          <t>Orobos Slave; Sewage Surprise; Frigid Dryad</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14</v>
      </c>
      <c r="H43" t="inlineStr">
        <is>
          <t>Brahma's Fix-it Shop; Equipped Peasant 1; Equipped Peasant 2</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12</v>
      </c>
      <c r="H50" t="inlineStr">
        <is>
          <t>Myrkridon Trow; Father Dragon; Hunter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5</v>
      </c>
      <c r="H61" t="inlineStr">
        <is>
          <t>Brahma's Fix-it Shop; Sewage Surprise; Xavier</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9</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2026-09-12T01:22:04Z</dcterms:created>
  <dcterms:modified xsi:type="dcterms:W3CDTF">2026-09-12T01:22:04Z</dcterms:modified>
</cp:coreProperties>
</file>