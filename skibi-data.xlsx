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cane" sheetId="1" state="visible" r:id="rId1"/>
    <sheet name="armour_matrix" sheetId="2" state="visible" r:id="rId2"/>
    <sheet name="bosses" sheetId="3" state="visible" r:id="rId3"/>
    <sheet name="caster_dps" sheetId="4" state="visible" r:id="rId4"/>
    <sheet name="game_modes" sheetId="5" state="visible" r:id="rId5"/>
    <sheet name="hero_ranking" sheetId="6" state="visible" r:id="rId6"/>
    <sheet name="heroes" sheetId="7" state="visible" r:id="rId7"/>
    <sheet name="military" sheetId="8" state="visible" r:id="rId8"/>
    <sheet name="minigame_items" sheetId="9" state="visible" r:id="rId9"/>
    <sheet name="minigame_readings" sheetId="10" state="visible" r:id="rId10"/>
    <sheet name="minigames" sheetId="11" state="visible" r:id="rId11"/>
    <sheet name="other_towers" sheetId="12" state="visible" r:id="rId12"/>
    <sheet name="ranger" sheetId="13" state="visible" r:id="rId13"/>
    <sheet name="royal_family" sheetId="14" state="visible" r:id="rId14"/>
    <sheet name="scarlet_knight" sheetId="15" state="visible" r:id="rId15"/>
    <sheet name="specialist" sheetId="16" state="visible" r:id="rId16"/>
    <sheet name="tempest" sheetId="17" state="visible" r:id="rId17"/>
    <sheet name="tower_traits" sheetId="18" state="visible" r:id="rId18"/>
    <sheet name="wave_modifiers" sheetId="19" state="visible" r:id="rId19"/>
    <sheet name="wave_traits" sheetId="20" state="visible" r:id="rId20"/>
    <sheet name="waves" sheetId="21" state="visible" r:id="rId21"/>
  </sheets>
  <definedNames>
    <definedName name="_xlnm._FilterDatabase" localSheetId="0" hidden="1">'arcane'!$A$1:$AU$18</definedName>
    <definedName name="_xlnm._FilterDatabase" localSheetId="1" hidden="1">'armour_matrix'!$A$1:$F$21</definedName>
    <definedName name="_xlnm._FilterDatabase" localSheetId="2" hidden="1">'bosses'!$A$1:$O$48</definedName>
    <definedName name="_xlnm._FilterDatabase" localSheetId="3" hidden="1">'caster_dps'!$A$1:$L$10</definedName>
    <definedName name="_xlnm._FilterDatabase" localSheetId="4" hidden="1">'game_modes'!$A$1:$I$5</definedName>
    <definedName name="_xlnm._FilterDatabase" localSheetId="5" hidden="1">'hero_ranking'!$A$1:$J$8</definedName>
    <definedName name="_xlnm._FilterDatabase" localSheetId="6" hidden="1">'heroes'!$A$1:$H$36</definedName>
    <definedName name="_xlnm._FilterDatabase" localSheetId="7" hidden="1">'military'!$A$1:$AX$20</definedName>
    <definedName name="_xlnm._FilterDatabase" localSheetId="8" hidden="1">'minigame_items'!$A$1:$D$22</definedName>
    <definedName name="_xlnm._FilterDatabase" localSheetId="9" hidden="1">'minigame_readings'!$A$1:$G$27</definedName>
    <definedName name="_xlnm._FilterDatabase" localSheetId="10" hidden="1">'minigames'!$A$1:$I$80</definedName>
    <definedName name="_xlnm._FilterDatabase" localSheetId="11" hidden="1">'other_towers'!$A$1:$AV$15</definedName>
    <definedName name="_xlnm._FilterDatabase" localSheetId="12" hidden="1">'ranger'!$A$1:$AU$20</definedName>
    <definedName name="_xlnm._FilterDatabase" localSheetId="13" hidden="1">'royal_family'!$A$1:$BA$28</definedName>
    <definedName name="_xlnm._FilterDatabase" localSheetId="14" hidden="1">'scarlet_knight'!$A$1:$AU$21</definedName>
    <definedName name="_xlnm._FilterDatabase" localSheetId="15" hidden="1">'specialist'!$A$1:$AY$24</definedName>
    <definedName name="_xlnm._FilterDatabase" localSheetId="16" hidden="1">'tempest'!$A$1:$BA$22</definedName>
    <definedName name="_xlnm._FilterDatabase" localSheetId="17" hidden="1">'tower_traits'!$A$1:$I$113</definedName>
    <definedName name="_xlnm._FilterDatabase" localSheetId="18" hidden="1">'wave_modifiers'!$A$1:$D$46</definedName>
    <definedName name="_xlnm._FilterDatabase" localSheetId="19" hidden="1">'wave_traits'!$A$1:$K$51</definedName>
    <definedName name="_xlnm._FilterDatabase" localSheetId="20" hidden="1">'waves'!$A$1:$R$93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8"/>
  <sheetViews>
    <sheetView workbookViewId="0">
      <pane ySplit="1" topLeftCell="A2" activePane="bottomLeft" state="frozen"/>
      <selection pane="bottomLeft" activeCell="A1" sqref="A1"/>
    </sheetView>
  </sheetViews>
  <sheetFormatPr baseColWidth="8" defaultRowHeight="15"/>
  <cols>
    <col width="21" customWidth="1" min="1" max="1"/>
    <col width="9" customWidth="1" min="2" max="2"/>
    <col width="9" customWidth="1" min="3" max="3"/>
    <col width="11" customWidth="1" min="4" max="4"/>
    <col width="9" customWidth="1" min="5" max="5"/>
    <col width="21" customWidth="1" min="6" max="6"/>
    <col width="19" customWidth="1" min="7" max="7"/>
    <col width="48" customWidth="1" min="8" max="8"/>
    <col width="31" customWidth="1" min="9" max="9"/>
    <col width="10" customWidth="1" min="10" max="10"/>
    <col width="10" customWidth="1" min="11" max="11"/>
    <col width="11" customWidth="1" min="12" max="12"/>
    <col width="15" customWidth="1" min="13" max="13"/>
    <col width="12" customWidth="1" min="14" max="14"/>
    <col width="11" customWidth="1" min="15" max="15"/>
    <col width="10" customWidth="1" min="16" max="16"/>
    <col width="10" customWidth="1" min="17" max="17"/>
    <col width="10" customWidth="1" min="18" max="18"/>
    <col width="11" customWidth="1" min="19" max="19"/>
    <col width="15" customWidth="1" min="20" max="20"/>
    <col width="12" customWidth="1" min="21" max="21"/>
    <col width="11" customWidth="1" min="22" max="22"/>
    <col width="10" customWidth="1" min="23" max="23"/>
    <col width="16" customWidth="1" min="24" max="24"/>
    <col width="13" customWidth="1" min="25" max="25"/>
    <col width="14" customWidth="1" min="26" max="26"/>
    <col width="9" customWidth="1" min="27" max="27"/>
    <col width="13" customWidth="1" min="28" max="28"/>
    <col width="13" customWidth="1" min="29" max="29"/>
    <col width="11" customWidth="1" min="30" max="30"/>
    <col width="11" customWidth="1" min="31" max="31"/>
    <col width="12" customWidth="1" min="32" max="32"/>
    <col width="20" customWidth="1" min="33" max="33"/>
    <col width="11" customWidth="1" min="34" max="34"/>
    <col width="26" customWidth="1" min="35" max="35"/>
    <col width="32" customWidth="1" min="36" max="36"/>
    <col width="9" customWidth="1" min="37" max="37"/>
    <col width="17" customWidth="1" min="38" max="38"/>
    <col width="15" customWidth="1" min="39" max="39"/>
    <col width="14" customWidth="1" min="40" max="40"/>
    <col width="17" customWidth="1" min="41" max="41"/>
    <col width="27" customWidth="1" min="42" max="42"/>
    <col width="12" customWidth="1" min="43" max="43"/>
    <col width="9" customWidth="1" min="44" max="44"/>
    <col width="15" customWidth="1" min="45" max="45"/>
    <col width="22" customWidth="1" min="46" max="46"/>
    <col width="48" customWidth="1" min="47" max="47"/>
  </cols>
  <sheetData>
    <row r="1">
      <c r="A1" s="1" t="inlineStr">
        <is>
          <t>name</t>
        </is>
      </c>
      <c r="B1" s="1" t="inlineStr">
        <is>
          <t>unit_id</t>
        </is>
      </c>
      <c r="C1" s="1" t="inlineStr">
        <is>
          <t>tier</t>
        </is>
      </c>
      <c r="D1" s="1" t="inlineStr">
        <is>
          <t>cost_gold</t>
        </is>
      </c>
      <c r="E1" s="1" t="inlineStr">
        <is>
          <t>food</t>
        </is>
      </c>
      <c r="F1" s="1" t="inlineStr">
        <is>
          <t>upgrades_from</t>
        </is>
      </c>
      <c r="G1" s="1" t="inlineStr">
        <is>
          <t>upgrades_to</t>
        </is>
      </c>
      <c r="H1" s="1" t="inlineStr">
        <is>
          <t>traits</t>
        </is>
      </c>
      <c r="I1" s="1" t="inlineStr">
        <is>
          <t>targets</t>
        </is>
      </c>
      <c r="J1" s="1" t="inlineStr">
        <is>
          <t>atk1_min</t>
        </is>
      </c>
      <c r="K1" s="1" t="inlineStr">
        <is>
          <t>atk1_max</t>
        </is>
      </c>
      <c r="L1" s="1" t="inlineStr">
        <is>
          <t>atk1_mean</t>
        </is>
      </c>
      <c r="M1" s="1" t="inlineStr">
        <is>
          <t>atk1_cooldown</t>
        </is>
      </c>
      <c r="N1" s="1" t="inlineStr">
        <is>
          <t>atk1_range</t>
        </is>
      </c>
      <c r="O1" s="1" t="inlineStr">
        <is>
          <t>atk1_type</t>
        </is>
      </c>
      <c r="P1" s="1" t="inlineStr">
        <is>
          <t>atk1_dps</t>
        </is>
      </c>
      <c r="Q1" s="1" t="inlineStr">
        <is>
          <t>atk2_min</t>
        </is>
      </c>
      <c r="R1" s="1" t="inlineStr">
        <is>
          <t>atk2_max</t>
        </is>
      </c>
      <c r="S1" s="1" t="inlineStr">
        <is>
          <t>atk2_mean</t>
        </is>
      </c>
      <c r="T1" s="1" t="inlineStr">
        <is>
          <t>atk2_cooldown</t>
        </is>
      </c>
      <c r="U1" s="1" t="inlineStr">
        <is>
          <t>atk2_range</t>
        </is>
      </c>
      <c r="V1" s="1" t="inlineStr">
        <is>
          <t>atk2_type</t>
        </is>
      </c>
      <c r="W1" s="1" t="inlineStr">
        <is>
          <t>atk2_dps</t>
        </is>
      </c>
      <c r="X1" s="1" t="inlineStr">
        <is>
          <t>splash_targets</t>
        </is>
      </c>
      <c r="Y1" s="1" t="inlineStr">
        <is>
          <t>armour_type</t>
        </is>
      </c>
      <c r="Z1" s="1" t="inlineStr">
        <is>
          <t>armour_value</t>
        </is>
      </c>
      <c r="AA1" s="1" t="inlineStr">
        <is>
          <t>hp</t>
        </is>
      </c>
      <c r="AB1" s="1" t="inlineStr">
        <is>
          <t>cost_lumber</t>
        </is>
      </c>
      <c r="AC1" s="1" t="inlineStr">
        <is>
          <t>atk1_weapon</t>
        </is>
      </c>
      <c r="AD1" s="1" t="inlineStr">
        <is>
          <t>atk1_base</t>
        </is>
      </c>
      <c r="AE1" s="1" t="inlineStr">
        <is>
          <t>atk1_dice</t>
        </is>
      </c>
      <c r="AF1" s="1" t="inlineStr">
        <is>
          <t>atk1_sides</t>
        </is>
      </c>
      <c r="AG1" s="1" t="inlineStr">
        <is>
          <t>atk1_type_resolved</t>
        </is>
      </c>
      <c r="AH1" s="1" t="inlineStr">
        <is>
          <t>base_unit</t>
        </is>
      </c>
      <c r="AI1" s="1" t="inlineStr">
        <is>
          <t>abilities</t>
        </is>
      </c>
      <c r="AJ1" s="1" t="inlineStr">
        <is>
          <t>tooltip</t>
        </is>
      </c>
      <c r="AK1" s="1" t="inlineStr">
        <is>
          <t>dps_raw</t>
        </is>
      </c>
      <c r="AL1" s="1" t="inlineStr">
        <is>
          <t>crit_multiplier</t>
        </is>
      </c>
      <c r="AM1" s="1" t="inlineStr">
        <is>
          <t>dps_with_crit</t>
        </is>
      </c>
      <c r="AN1" s="1" t="inlineStr">
        <is>
          <t>dps_per_gold</t>
        </is>
      </c>
      <c r="AO1" s="1" t="inlineStr">
        <is>
          <t>coverage_vs_725</t>
        </is>
      </c>
      <c r="AP1" s="1" t="inlineStr">
        <is>
          <t>dps_per_gold_coverage_adj</t>
        </is>
      </c>
      <c r="AQ1" s="1" t="inlineStr">
        <is>
          <t>on_hit_dps</t>
        </is>
      </c>
      <c r="AR1" s="1" t="inlineStr">
        <is>
          <t>dot_dps</t>
        </is>
      </c>
      <c r="AS1" s="1" t="inlineStr">
        <is>
          <t>dps_total_est</t>
        </is>
      </c>
      <c r="AT1" s="1" t="inlineStr">
        <is>
          <t>dps_per_gold_x_range</t>
        </is>
      </c>
      <c r="AU1" s="1" t="inlineStr">
        <is>
          <t>dps_source</t>
        </is>
      </c>
    </row>
    <row r="2">
      <c r="A2" t="inlineStr">
        <is>
          <t>Aspect of Cold</t>
        </is>
      </c>
      <c r="B2" t="inlineStr">
        <is>
          <t>h04F</t>
        </is>
      </c>
      <c r="C2" t="n">
        <v>1</v>
      </c>
      <c r="D2" t="n">
        <v>0</v>
      </c>
      <c r="E2" t="n">
        <v>0</v>
      </c>
      <c r="G2" t="inlineStr">
        <is>
          <t>Arctic Blaster</t>
        </is>
      </c>
      <c r="H2" t="inlineStr">
        <is>
          <t>Activate / Deactivate Mana Detection (ANcl); Cold Snap (AIm2); Winter's Bite (ACcw)</t>
        </is>
      </c>
      <c r="I2" t="inlineStr">
        <is>
          <t>air,enemies,ground,nonancient</t>
        </is>
      </c>
      <c r="Z2" t="n">
        <v>0</v>
      </c>
      <c r="AA2" t="n">
        <v>1000</v>
      </c>
      <c r="AL2" t="n">
        <v>1</v>
      </c>
      <c r="AM2">
        <f>AK2*AL2</f>
        <v/>
      </c>
      <c r="AN2">
        <f>IF(D2=0,"",AS2/D2)</f>
        <v/>
      </c>
      <c r="AO2">
        <f>(N2/725)^2</f>
        <v/>
      </c>
      <c r="AP2">
        <f>IF(D2=0,"",AN2*AO2)</f>
        <v/>
      </c>
      <c r="AS2">
        <f>AM2+N(AQ2)+N(AR2)</f>
        <v/>
      </c>
      <c r="AT2">
        <f>IF(D2=0,"",AN2*(N2/725))</f>
        <v/>
      </c>
      <c r="AU2" t="inlineStr">
        <is>
          <t>no damage figure — support/on-death, or a bonus that needs a basic attack it lacks</t>
        </is>
      </c>
    </row>
    <row r="3">
      <c r="A3" t="inlineStr">
        <is>
          <t>Arctic Blaster</t>
        </is>
      </c>
      <c r="B3" t="inlineStr">
        <is>
          <t>h04C</t>
        </is>
      </c>
      <c r="C3" t="n">
        <v>2</v>
      </c>
      <c r="D3" t="n">
        <v>30</v>
      </c>
      <c r="E3" t="n">
        <v>0</v>
      </c>
      <c r="F3" t="inlineStr">
        <is>
          <t>Aspect of Cold</t>
        </is>
      </c>
      <c r="H3" t="inlineStr">
        <is>
          <t>Activate / Deactivate Mana Detection (ANcl); Arctic Blast (A07S); Cold Snap (AIm2)</t>
        </is>
      </c>
      <c r="I3" t="inlineStr">
        <is>
          <t>air,enemies,ground,nonancient</t>
        </is>
      </c>
      <c r="Z3" t="n">
        <v>1</v>
      </c>
      <c r="AA3" t="n">
        <v>1250</v>
      </c>
      <c r="AK3" t="n">
        <v>39.8</v>
      </c>
      <c r="AL3" t="n">
        <v>1</v>
      </c>
      <c r="AM3">
        <f>AK3*AL3</f>
        <v/>
      </c>
      <c r="AN3">
        <f>IF(D3=0,"",AS3/D3)</f>
        <v/>
      </c>
      <c r="AO3">
        <f>(N3/725)^2</f>
        <v/>
      </c>
      <c r="AP3">
        <f>IF(D3=0,"",AN3*AO3)</f>
        <v/>
      </c>
      <c r="AS3">
        <f>AM3+N(AQ3)+N(AR3)</f>
        <v/>
      </c>
      <c r="AT3">
        <f>IF(D3=0,"",AN3*(N3/725))</f>
        <v/>
      </c>
      <c r="AU3" t="inlineStr">
        <is>
          <t>caster: Arctic Blast (sustained, mana-limited)</t>
        </is>
      </c>
    </row>
    <row r="4">
      <c r="A4" t="inlineStr">
        <is>
          <t>Aspect of Fire</t>
        </is>
      </c>
      <c r="B4" t="inlineStr">
        <is>
          <t>h03W</t>
        </is>
      </c>
      <c r="C4" t="n">
        <v>1</v>
      </c>
      <c r="D4" t="n">
        <v>5</v>
      </c>
      <c r="E4" t="n">
        <v>0</v>
      </c>
      <c r="G4" t="inlineStr">
        <is>
          <t>Scalding Tower</t>
        </is>
      </c>
      <c r="H4" t="inlineStr">
        <is>
          <t>Activate / Deactivate Mana Detection (ANcl); Kiss of Flame (AHfa); Combustion (A014)</t>
        </is>
      </c>
      <c r="I4" t="inlineStr">
        <is>
          <t>air,enemies,ground,nonancient</t>
        </is>
      </c>
      <c r="Z4" t="n">
        <v>0</v>
      </c>
      <c r="AA4" t="n">
        <v>1000</v>
      </c>
      <c r="AL4" t="n">
        <v>1</v>
      </c>
      <c r="AM4">
        <f>AK4*AL4</f>
        <v/>
      </c>
      <c r="AN4">
        <f>IF(D4=0,"",AS4/D4)</f>
        <v/>
      </c>
      <c r="AO4">
        <f>(N4/725)^2</f>
        <v/>
      </c>
      <c r="AP4">
        <f>IF(D4=0,"",AN4*AO4)</f>
        <v/>
      </c>
      <c r="AS4">
        <f>AM4+N(AQ4)+N(AR4)</f>
        <v/>
      </c>
      <c r="AT4">
        <f>IF(D4=0,"",AN4*(N4/725))</f>
        <v/>
      </c>
      <c r="AU4" t="inlineStr">
        <is>
          <t>no damage figure — support/on-death, or a bonus that needs a basic attack it lacks</t>
        </is>
      </c>
    </row>
    <row r="5">
      <c r="A5" t="inlineStr">
        <is>
          <t>Scalding Tower</t>
        </is>
      </c>
      <c r="B5" t="inlineStr">
        <is>
          <t>h03X</t>
        </is>
      </c>
      <c r="C5" t="n">
        <v>2</v>
      </c>
      <c r="D5" t="n">
        <v>35</v>
      </c>
      <c r="E5" t="n">
        <v>0</v>
      </c>
      <c r="F5" t="inlineStr">
        <is>
          <t>Aspect of Fire</t>
        </is>
      </c>
      <c r="H5" t="inlineStr">
        <is>
          <t>Activate / Deactivate Mana Detection (ANcl); Combustion (A014); Scald (ANbf)</t>
        </is>
      </c>
      <c r="I5" t="inlineStr">
        <is>
          <t>air,enemies,ground,nonancient</t>
        </is>
      </c>
      <c r="Z5" t="n">
        <v>1</v>
      </c>
      <c r="AA5" t="n">
        <v>1250</v>
      </c>
      <c r="AK5" t="n">
        <v>47.3</v>
      </c>
      <c r="AL5" t="n">
        <v>1</v>
      </c>
      <c r="AM5">
        <f>AK5*AL5</f>
        <v/>
      </c>
      <c r="AN5">
        <f>IF(D5=0,"",AS5/D5)</f>
        <v/>
      </c>
      <c r="AO5">
        <f>(N5/725)^2</f>
        <v/>
      </c>
      <c r="AP5">
        <f>IF(D5=0,"",AN5*AO5)</f>
        <v/>
      </c>
      <c r="AS5">
        <f>AM5+N(AQ5)+N(AR5)</f>
        <v/>
      </c>
      <c r="AT5">
        <f>IF(D5=0,"",AN5*(N5/725))</f>
        <v/>
      </c>
      <c r="AU5" t="inlineStr">
        <is>
          <t>caster: Scald (sustained, mana-limited)</t>
        </is>
      </c>
    </row>
    <row r="6">
      <c r="A6" t="inlineStr">
        <is>
          <t>Aspect of Lightning</t>
        </is>
      </c>
      <c r="B6" t="inlineStr">
        <is>
          <t>h03R</t>
        </is>
      </c>
      <c r="C6" t="n">
        <v>1</v>
      </c>
      <c r="D6" t="n">
        <v>15</v>
      </c>
      <c r="E6" t="n">
        <v>0</v>
      </c>
      <c r="G6" t="inlineStr">
        <is>
          <t>Electrocutioner</t>
        </is>
      </c>
      <c r="H6" t="inlineStr">
        <is>
          <t>Activate / Deactivate Mana Detection (ANcl); Ball Lightning (A07R); Electrify (AIhb)</t>
        </is>
      </c>
      <c r="I6" t="inlineStr">
        <is>
          <t>air,enemies,ground,nonancient</t>
        </is>
      </c>
      <c r="Z6" t="n">
        <v>0</v>
      </c>
      <c r="AA6" t="n">
        <v>1000</v>
      </c>
      <c r="AK6" t="n">
        <v>48.6</v>
      </c>
      <c r="AL6" t="n">
        <v>1</v>
      </c>
      <c r="AM6">
        <f>AK6*AL6</f>
        <v/>
      </c>
      <c r="AN6">
        <f>IF(D6=0,"",AS6/D6)</f>
        <v/>
      </c>
      <c r="AO6">
        <f>(N6/725)^2</f>
        <v/>
      </c>
      <c r="AP6">
        <f>IF(D6=0,"",AN6*AO6)</f>
        <v/>
      </c>
      <c r="AS6">
        <f>AM6+N(AQ6)+N(AR6)</f>
        <v/>
      </c>
      <c r="AT6">
        <f>IF(D6=0,"",AN6*(N6/725))</f>
        <v/>
      </c>
      <c r="AU6" t="inlineStr">
        <is>
          <t>caster: Ball Lightning (sustained, mana-limited)</t>
        </is>
      </c>
    </row>
    <row r="7">
      <c r="A7" t="inlineStr">
        <is>
          <t>Electrocutioner</t>
        </is>
      </c>
      <c r="B7" t="inlineStr">
        <is>
          <t>h042</t>
        </is>
      </c>
      <c r="C7" t="n">
        <v>2</v>
      </c>
      <c r="D7" t="n">
        <v>40</v>
      </c>
      <c r="E7" t="n">
        <v>0</v>
      </c>
      <c r="F7" t="inlineStr">
        <is>
          <t>Aspect of Lightning</t>
        </is>
      </c>
      <c r="H7" t="inlineStr">
        <is>
          <t>Activate / Deactivate Mana Detection (ANcl); Electrify (AIhb); Forked Lightning (ANfl)</t>
        </is>
      </c>
      <c r="I7" t="inlineStr">
        <is>
          <t>air,enemies,ground,nonancient</t>
        </is>
      </c>
      <c r="Z7" t="n">
        <v>1</v>
      </c>
      <c r="AA7" t="n">
        <v>1250</v>
      </c>
      <c r="AL7" t="n">
        <v>1</v>
      </c>
      <c r="AM7">
        <f>AK7*AL7</f>
        <v/>
      </c>
      <c r="AN7">
        <f>IF(D7=0,"",AS7/D7)</f>
        <v/>
      </c>
      <c r="AO7">
        <f>(N7/725)^2</f>
        <v/>
      </c>
      <c r="AP7">
        <f>IF(D7=0,"",AN7*AO7)</f>
        <v/>
      </c>
      <c r="AS7">
        <f>AM7+N(AQ7)+N(AR7)</f>
        <v/>
      </c>
      <c r="AT7">
        <f>IF(D7=0,"",AN7*(N7/725))</f>
        <v/>
      </c>
      <c r="AU7" t="inlineStr">
        <is>
          <t>no damage figure — support/on-death, or a bonus that needs a basic attack it lacks</t>
        </is>
      </c>
    </row>
    <row r="8">
      <c r="A8" t="inlineStr">
        <is>
          <t>Rebuilder</t>
        </is>
      </c>
      <c r="B8" t="inlineStr">
        <is>
          <t>h03Y</t>
        </is>
      </c>
      <c r="C8" t="n">
        <v>1</v>
      </c>
      <c r="D8" t="n">
        <v>10</v>
      </c>
      <c r="E8" t="n">
        <v>0</v>
      </c>
      <c r="H8" t="inlineStr">
        <is>
          <t>Activate / Deactivate Mana Detection (ANcl); Soothe Foundation (A080)</t>
        </is>
      </c>
      <c r="Z8" t="n">
        <v>1</v>
      </c>
      <c r="AA8" t="n">
        <v>1250</v>
      </c>
      <c r="AL8" t="n">
        <v>1</v>
      </c>
      <c r="AM8">
        <f>AK8*AL8</f>
        <v/>
      </c>
      <c r="AN8">
        <f>IF(D8=0,"",AS8/D8)</f>
        <v/>
      </c>
      <c r="AO8">
        <f>(N8/725)^2</f>
        <v/>
      </c>
      <c r="AP8">
        <f>IF(D8=0,"",AN8*AO8)</f>
        <v/>
      </c>
      <c r="AS8">
        <f>AM8+N(AQ8)+N(AR8)</f>
        <v/>
      </c>
      <c r="AT8">
        <f>IF(D8=0,"",AN8*(N8/725))</f>
        <v/>
      </c>
      <c r="AU8" t="inlineStr">
        <is>
          <t>no damage figure — support/on-death, or a bonus that needs a basic attack it lacks</t>
        </is>
      </c>
    </row>
    <row r="9">
      <c r="A9" t="inlineStr">
        <is>
          <t>Chilly Bit Striker</t>
        </is>
      </c>
      <c r="B9" t="inlineStr">
        <is>
          <t>h043</t>
        </is>
      </c>
      <c r="C9" t="n">
        <v>1</v>
      </c>
      <c r="D9" t="n">
        <v>230</v>
      </c>
      <c r="E9" t="n">
        <v>0</v>
      </c>
      <c r="G9" t="inlineStr">
        <is>
          <t>Freezing Field</t>
        </is>
      </c>
      <c r="H9" t="inlineStr">
        <is>
          <t>Activate / Deactivate Mana Detection (ANcl); Cold Snap (AIm2); Chilly Bits Grade Peorth (ANc1)</t>
        </is>
      </c>
      <c r="I9" t="inlineStr">
        <is>
          <t>air,enemies,ground,nonancient</t>
        </is>
      </c>
      <c r="Z9" t="n">
        <v>2</v>
      </c>
      <c r="AA9" t="n">
        <v>1500</v>
      </c>
      <c r="AK9" t="n">
        <v>58</v>
      </c>
      <c r="AL9" t="n">
        <v>1</v>
      </c>
      <c r="AM9">
        <f>AK9*AL9</f>
        <v/>
      </c>
      <c r="AN9">
        <f>IF(D9=0,"",AS9/D9)</f>
        <v/>
      </c>
      <c r="AO9">
        <f>(N9/725)^2</f>
        <v/>
      </c>
      <c r="AP9">
        <f>IF(D9=0,"",AN9*AO9)</f>
        <v/>
      </c>
      <c r="AS9">
        <f>AM9+N(AQ9)+N(AR9)</f>
        <v/>
      </c>
      <c r="AT9">
        <f>IF(D9=0,"",AN9*(N9/725))</f>
        <v/>
      </c>
      <c r="AU9" t="inlineStr">
        <is>
          <t>caster: Chilly Bits Grade Peorth (sustained, mana-limited)</t>
        </is>
      </c>
    </row>
    <row r="10">
      <c r="A10" t="inlineStr">
        <is>
          <t>Freezing Field</t>
        </is>
      </c>
      <c r="B10" t="inlineStr">
        <is>
          <t>h046</t>
        </is>
      </c>
      <c r="C10" t="n">
        <v>2</v>
      </c>
      <c r="D10" t="n">
        <v>325</v>
      </c>
      <c r="E10" t="n">
        <v>0</v>
      </c>
      <c r="F10" t="inlineStr">
        <is>
          <t>Chilly Bit Striker</t>
        </is>
      </c>
      <c r="H10" t="inlineStr">
        <is>
          <t>Activate / Deactivate Mana Detection (ANcl); Freezing Field (Aamk); Cold Snap (AIm2)</t>
        </is>
      </c>
      <c r="I10" t="inlineStr">
        <is>
          <t>air,enemies,ground,nonancient</t>
        </is>
      </c>
      <c r="Z10" t="n">
        <v>3</v>
      </c>
      <c r="AA10" t="n">
        <v>1750</v>
      </c>
      <c r="AL10" t="n">
        <v>1</v>
      </c>
      <c r="AM10">
        <f>AK10*AL10</f>
        <v/>
      </c>
      <c r="AN10">
        <f>IF(D10=0,"",AS10/D10)</f>
        <v/>
      </c>
      <c r="AO10">
        <f>(N10/725)^2</f>
        <v/>
      </c>
      <c r="AP10">
        <f>IF(D10=0,"",AN10*AO10)</f>
        <v/>
      </c>
      <c r="AS10">
        <f>AM10+N(AQ10)+N(AR10)</f>
        <v/>
      </c>
      <c r="AT10">
        <f>IF(D10=0,"",AN10*(N10/725))</f>
        <v/>
      </c>
      <c r="AU10" t="inlineStr">
        <is>
          <t>no damage figure — support/on-death, or a bonus that needs a basic attack it lacks</t>
        </is>
      </c>
    </row>
    <row r="11">
      <c r="A11" t="inlineStr">
        <is>
          <t>Fire Hydra</t>
        </is>
      </c>
      <c r="B11" t="inlineStr">
        <is>
          <t>h044</t>
        </is>
      </c>
      <c r="C11" t="n">
        <v>1</v>
      </c>
      <c r="D11" t="n">
        <v>255</v>
      </c>
      <c r="E11" t="n">
        <v>0</v>
      </c>
      <c r="G11" t="inlineStr">
        <is>
          <t>Duke Burnify</t>
        </is>
      </c>
      <c r="H11" t="inlineStr">
        <is>
          <t>Activate / Deactivate Mana Detection (ANcl); Combustion (A014); Fire Volley (Aroc)</t>
        </is>
      </c>
      <c r="I11" t="inlineStr">
        <is>
          <t>air,enemies,ground,nonancient</t>
        </is>
      </c>
      <c r="J11" t="n">
        <v>355</v>
      </c>
      <c r="K11" t="n">
        <v>355</v>
      </c>
      <c r="L11" t="n">
        <v>355</v>
      </c>
      <c r="M11" t="n">
        <v>0.5</v>
      </c>
      <c r="N11" t="n">
        <v>1100</v>
      </c>
      <c r="O11" t="inlineStr">
        <is>
          <t>chaos</t>
        </is>
      </c>
      <c r="P11" t="n">
        <v>710</v>
      </c>
      <c r="Z11" t="n">
        <v>2</v>
      </c>
      <c r="AA11" t="n">
        <v>1500</v>
      </c>
      <c r="AB11" t="n">
        <v>0</v>
      </c>
      <c r="AC11" t="inlineStr">
        <is>
          <t>missile</t>
        </is>
      </c>
      <c r="AD11" t="n">
        <v>354</v>
      </c>
      <c r="AE11" t="n">
        <v>1</v>
      </c>
      <c r="AF11" t="n">
        <v>1</v>
      </c>
      <c r="AG11" t="inlineStr">
        <is>
          <t>chaos</t>
        </is>
      </c>
      <c r="AH11" t="inlineStr">
        <is>
          <t>hhou</t>
        </is>
      </c>
      <c r="AI11" t="inlineStr">
        <is>
          <t>ANcl,A014,Aroc,A028</t>
        </is>
      </c>
      <c r="AJ11" t="inlineStr">
        <is>
          <t>Build Fire Hydra ( S ) - 255</t>
        </is>
      </c>
      <c r="AK11" t="n">
        <v>710</v>
      </c>
      <c r="AL11" t="n">
        <v>1</v>
      </c>
      <c r="AM11">
        <f>AK11*AL11</f>
        <v/>
      </c>
      <c r="AN11">
        <f>IF(D11=0,"",AS11/D11)</f>
        <v/>
      </c>
      <c r="AO11">
        <f>(N11/725)^2</f>
        <v/>
      </c>
      <c r="AP11">
        <f>IF(D11=0,"",AN11*AO11)</f>
        <v/>
      </c>
      <c r="AS11">
        <f>AM11+N(AQ11)+N(AR11)</f>
        <v/>
      </c>
      <c r="AT11">
        <f>IF(D11=0,"",AN11*(N11/725))</f>
        <v/>
      </c>
      <c r="AU11" t="inlineStr">
        <is>
          <t>basic attack</t>
        </is>
      </c>
    </row>
    <row r="12">
      <c r="A12" t="inlineStr">
        <is>
          <t>Duke Burnify</t>
        </is>
      </c>
      <c r="B12" t="inlineStr">
        <is>
          <t>h03L</t>
        </is>
      </c>
      <c r="C12" t="n">
        <v>2</v>
      </c>
      <c r="D12" t="n">
        <v>400</v>
      </c>
      <c r="E12" t="n">
        <v>0</v>
      </c>
      <c r="F12" t="inlineStr">
        <is>
          <t>Fire Hydra</t>
        </is>
      </c>
      <c r="H12" t="inlineStr">
        <is>
          <t>Activate / Deactivate Mana Detection (ANcl); Combustion (A014); Burnify (ANic); Ground Critical Strike I (A003)</t>
        </is>
      </c>
      <c r="I12" t="inlineStr">
        <is>
          <t>air,enemies,ground,nonancient</t>
        </is>
      </c>
      <c r="J12" t="n">
        <v>239</v>
      </c>
      <c r="K12" t="n">
        <v>242</v>
      </c>
      <c r="L12" t="n">
        <v>240.5</v>
      </c>
      <c r="M12" t="n">
        <v>0.5</v>
      </c>
      <c r="N12" t="n">
        <v>1200</v>
      </c>
      <c r="O12" t="inlineStr">
        <is>
          <t>chaos</t>
        </is>
      </c>
      <c r="P12" t="n">
        <v>481</v>
      </c>
      <c r="Z12" t="n">
        <v>3</v>
      </c>
      <c r="AA12" t="n">
        <v>1750</v>
      </c>
      <c r="AB12" t="n">
        <v>0</v>
      </c>
      <c r="AC12" t="inlineStr">
        <is>
          <t>missile</t>
        </is>
      </c>
      <c r="AD12" t="n">
        <v>238</v>
      </c>
      <c r="AE12" t="n">
        <v>1</v>
      </c>
      <c r="AF12" t="n">
        <v>4</v>
      </c>
      <c r="AG12" t="inlineStr">
        <is>
          <t>chaos</t>
        </is>
      </c>
      <c r="AH12" t="inlineStr">
        <is>
          <t>hhou</t>
        </is>
      </c>
      <c r="AI12" t="inlineStr">
        <is>
          <t>ANcl,A014,ANic,A028,A003</t>
        </is>
      </c>
      <c r="AJ12" t="inlineStr">
        <is>
          <t>U pgrade to Duke Burnify - 400</t>
        </is>
      </c>
      <c r="AK12" t="n">
        <v>481</v>
      </c>
      <c r="AL12" t="n">
        <v>1.35</v>
      </c>
      <c r="AM12">
        <f>AK12*AL12</f>
        <v/>
      </c>
      <c r="AN12">
        <f>IF(D12=0,"",AS12/D12)</f>
        <v/>
      </c>
      <c r="AO12">
        <f>(N12/725)^2</f>
        <v/>
      </c>
      <c r="AP12">
        <f>IF(D12=0,"",AN12*AO12)</f>
        <v/>
      </c>
      <c r="AS12">
        <f>AM12+N(AQ12)+N(AR12)</f>
        <v/>
      </c>
      <c r="AT12">
        <f>IF(D12=0,"",AN12*(N12/725))</f>
        <v/>
      </c>
      <c r="AU12" t="inlineStr">
        <is>
          <t>basic attack</t>
        </is>
      </c>
    </row>
    <row r="13">
      <c r="A13" t="inlineStr">
        <is>
          <t>Blood Wraith</t>
        </is>
      </c>
      <c r="B13" t="inlineStr">
        <is>
          <t>h03Q</t>
        </is>
      </c>
      <c r="C13" t="n">
        <v>1</v>
      </c>
      <c r="D13" t="n">
        <v>270</v>
      </c>
      <c r="E13" t="n">
        <v>0</v>
      </c>
      <c r="G13" t="inlineStr">
        <is>
          <t>Tsukikaze Warrior</t>
        </is>
      </c>
      <c r="H13" t="inlineStr">
        <is>
          <t>Activate / Deactivate Mana Detection (ANcl); Super Shock (ANfd); Electrify (AIhb)</t>
        </is>
      </c>
      <c r="I13" t="inlineStr">
        <is>
          <t>air,enemies,ground,nonancient</t>
        </is>
      </c>
      <c r="Z13" t="n">
        <v>2</v>
      </c>
      <c r="AA13" t="n">
        <v>1500</v>
      </c>
      <c r="AK13" t="n">
        <v>857.1</v>
      </c>
      <c r="AL13" t="n">
        <v>1</v>
      </c>
      <c r="AM13">
        <f>AK13*AL13</f>
        <v/>
      </c>
      <c r="AN13">
        <f>IF(D13=0,"",AS13/D13)</f>
        <v/>
      </c>
      <c r="AO13">
        <f>(N13/725)^2</f>
        <v/>
      </c>
      <c r="AP13">
        <f>IF(D13=0,"",AN13*AO13)</f>
        <v/>
      </c>
      <c r="AS13">
        <f>AM13+N(AQ13)+N(AR13)</f>
        <v/>
      </c>
      <c r="AT13">
        <f>IF(D13=0,"",AN13*(N13/725))</f>
        <v/>
      </c>
      <c r="AU13" t="inlineStr">
        <is>
          <t>caster: Super Shock (sustained, mana-limited)</t>
        </is>
      </c>
    </row>
    <row r="14">
      <c r="A14" t="inlineStr">
        <is>
          <t>Tsukikaze Warrior</t>
        </is>
      </c>
      <c r="B14" t="inlineStr">
        <is>
          <t>h03V</t>
        </is>
      </c>
      <c r="C14" t="n">
        <v>2</v>
      </c>
      <c r="D14" t="n">
        <v>550</v>
      </c>
      <c r="E14" t="n">
        <v>0</v>
      </c>
      <c r="F14" t="inlineStr">
        <is>
          <t>Blood Wraith</t>
        </is>
      </c>
      <c r="H14" t="inlineStr">
        <is>
          <t>Activate / Deactivate Mana Detection (ANcl); Electrify (AIhb); Tsukikaze (A07T)</t>
        </is>
      </c>
      <c r="I14" t="inlineStr">
        <is>
          <t>air,enemies,ground,nonancient</t>
        </is>
      </c>
      <c r="Z14" t="n">
        <v>3</v>
      </c>
      <c r="AA14" t="n">
        <v>1750</v>
      </c>
      <c r="AK14" t="n">
        <v>1356.7</v>
      </c>
      <c r="AL14" t="n">
        <v>1</v>
      </c>
      <c r="AM14">
        <f>AK14*AL14</f>
        <v/>
      </c>
      <c r="AN14">
        <f>IF(D14=0,"",AS14/D14)</f>
        <v/>
      </c>
      <c r="AO14">
        <f>(N14/725)^2</f>
        <v/>
      </c>
      <c r="AP14">
        <f>IF(D14=0,"",AN14*AO14)</f>
        <v/>
      </c>
      <c r="AS14">
        <f>AM14+N(AQ14)+N(AR14)</f>
        <v/>
      </c>
      <c r="AT14">
        <f>IF(D14=0,"",AN14*(N14/725))</f>
        <v/>
      </c>
      <c r="AU14" t="inlineStr">
        <is>
          <t>caster: Tsukikaze (sustained, mana-limited)</t>
        </is>
      </c>
    </row>
    <row r="15">
      <c r="A15" t="inlineStr">
        <is>
          <t>Hybrid Tower</t>
        </is>
      </c>
      <c r="B15" t="inlineStr">
        <is>
          <t>h03N</t>
        </is>
      </c>
      <c r="C15" t="n">
        <v>1</v>
      </c>
      <c r="D15" t="n">
        <v>100</v>
      </c>
      <c r="E15" t="n">
        <v>1</v>
      </c>
      <c r="Z15" t="n">
        <v>4</v>
      </c>
      <c r="AA15" t="n">
        <v>750</v>
      </c>
      <c r="AL15" t="n">
        <v>1</v>
      </c>
      <c r="AM15">
        <f>AK15*AL15</f>
        <v/>
      </c>
      <c r="AN15">
        <f>IF(D15=0,"",AS15/D15)</f>
        <v/>
      </c>
      <c r="AO15">
        <f>(N15/725)^2</f>
        <v/>
      </c>
      <c r="AP15">
        <f>IF(D15=0,"",AN15*AO15)</f>
        <v/>
      </c>
      <c r="AS15">
        <f>AM15+N(AQ15)+N(AR15)</f>
        <v/>
      </c>
      <c r="AT15">
        <f>IF(D15=0,"",AN15*(N15/725))</f>
        <v/>
      </c>
      <c r="AU15" t="inlineStr">
        <is>
          <t>no damage figure — support/on-death, or a bonus that needs a basic attack it lacks</t>
        </is>
      </c>
    </row>
    <row r="16">
      <c r="A16" t="inlineStr">
        <is>
          <t>Mana Well</t>
        </is>
      </c>
      <c r="B16" t="inlineStr">
        <is>
          <t>h049</t>
        </is>
      </c>
      <c r="C16" t="n">
        <v>1</v>
      </c>
      <c r="D16" t="n">
        <v>25</v>
      </c>
      <c r="E16" t="n">
        <v>0</v>
      </c>
      <c r="H16" t="inlineStr">
        <is>
          <t>Arpm (Arpm); Sacrifice (A07P); Upon Death - Mana Well (Asth)</t>
        </is>
      </c>
      <c r="Z16" t="n">
        <v>0</v>
      </c>
      <c r="AL16" t="n">
        <v>1</v>
      </c>
      <c r="AM16">
        <f>AK16*AL16</f>
        <v/>
      </c>
      <c r="AN16">
        <f>IF(D16=0,"",AS16/D16)</f>
        <v/>
      </c>
      <c r="AO16">
        <f>(N16/725)^2</f>
        <v/>
      </c>
      <c r="AP16">
        <f>IF(D16=0,"",AN16*AO16)</f>
        <v/>
      </c>
      <c r="AS16">
        <f>AM16+N(AQ16)+N(AR16)</f>
        <v/>
      </c>
      <c r="AT16">
        <f>IF(D16=0,"",AN16*(N16/725))</f>
        <v/>
      </c>
      <c r="AU16" t="inlineStr">
        <is>
          <t>no damage figure — support/on-death, or a bonus that needs a basic attack it lacks</t>
        </is>
      </c>
    </row>
    <row r="17">
      <c r="A17" t="inlineStr">
        <is>
          <t>Phoenix Spawn</t>
        </is>
      </c>
      <c r="B17" t="inlineStr">
        <is>
          <t>h03K</t>
        </is>
      </c>
      <c r="C17" t="n">
        <v>1</v>
      </c>
      <c r="D17" t="n">
        <v>30</v>
      </c>
      <c r="E17" t="n">
        <v>0</v>
      </c>
      <c r="H17" t="inlineStr">
        <is>
          <t>Sacrifice (A07P); Upon Death - Phoenix (Atru); Phoenix Income (Amgl)</t>
        </is>
      </c>
      <c r="Z17" t="n">
        <v>0</v>
      </c>
      <c r="AL17" t="n">
        <v>1</v>
      </c>
      <c r="AM17">
        <f>AK17*AL17</f>
        <v/>
      </c>
      <c r="AN17">
        <f>IF(D17=0,"",AS17/D17)</f>
        <v/>
      </c>
      <c r="AO17">
        <f>(N17/725)^2</f>
        <v/>
      </c>
      <c r="AP17">
        <f>IF(D17=0,"",AN17*AO17)</f>
        <v/>
      </c>
      <c r="AS17">
        <f>AM17+N(AQ17)+N(AR17)</f>
        <v/>
      </c>
      <c r="AT17">
        <f>IF(D17=0,"",AN17*(N17/725))</f>
        <v/>
      </c>
      <c r="AU17" t="inlineStr">
        <is>
          <t>no damage figure — support/on-death, or a bonus that needs a basic attack it lacks</t>
        </is>
      </c>
    </row>
    <row r="18">
      <c r="A18" t="inlineStr">
        <is>
          <t>Unstable Flux</t>
        </is>
      </c>
      <c r="B18" t="inlineStr">
        <is>
          <t>h03M</t>
        </is>
      </c>
      <c r="C18" t="n">
        <v>1</v>
      </c>
      <c r="D18" t="n">
        <v>35</v>
      </c>
      <c r="E18" t="n">
        <v>0</v>
      </c>
      <c r="H18" t="inlineStr">
        <is>
          <t>Sacrifice (A07P); Electromagnetic Aura (AOr2); Upon Death - Unstable Flux (ANca)</t>
        </is>
      </c>
      <c r="Z18" t="n">
        <v>0</v>
      </c>
      <c r="AL18" t="n">
        <v>1</v>
      </c>
      <c r="AM18">
        <f>AK18*AL18</f>
        <v/>
      </c>
      <c r="AN18">
        <f>IF(D18=0,"",AS18/D18)</f>
        <v/>
      </c>
      <c r="AO18">
        <f>(N18/725)^2</f>
        <v/>
      </c>
      <c r="AP18">
        <f>IF(D18=0,"",AN18*AO18)</f>
        <v/>
      </c>
      <c r="AS18">
        <f>AM18+N(AQ18)+N(AR18)</f>
        <v/>
      </c>
      <c r="AT18">
        <f>IF(D18=0,"",AN18*(N18/725))</f>
        <v/>
      </c>
      <c r="AU18" t="inlineStr">
        <is>
          <t>no damage figure — support/on-death, or a bonus that needs a basic attack it lacks</t>
        </is>
      </c>
    </row>
  </sheetData>
  <autoFilter ref="A1:AU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0" customWidth="1" min="5" max="5"/>
    <col width="48" customWidth="1" min="6" max="6"/>
  </cols>
  <sheetData>
    <row r="1">
      <c r="A1" s="1" t="inlineStr">
        <is>
          <t>armour_type_es</t>
        </is>
      </c>
      <c r="B1" s="1" t="inlineStr">
        <is>
          <t>armour_type_en</t>
        </is>
      </c>
      <c r="C1" s="1" t="inlineStr">
        <is>
          <t>attack_type</t>
        </is>
      </c>
      <c r="D1" s="1" t="inlineStr">
        <is>
          <t>multiplier_pct</t>
        </is>
      </c>
      <c r="E1" s="1" t="inlineStr">
        <is>
          <t>status</t>
        </is>
      </c>
      <c r="F1" s="1" t="inlineStr">
        <is>
          <t>notes</t>
        </is>
      </c>
    </row>
    <row r="2">
      <c r="A2" t="inlineStr">
        <is>
          <t>media</t>
        </is>
      </c>
      <c r="B2" t="inlineStr">
        <is>
          <t>Medium</t>
        </is>
      </c>
      <c r="C2" t="inlineStr">
        <is>
          <t>normal</t>
        </is>
      </c>
      <c r="D2" t="n">
        <v>125</v>
      </c>
      <c r="E2" t="inlineStr">
        <is>
          <t>OBSERVED</t>
        </is>
      </c>
      <c r="F2" t="inlineStr">
        <is>
          <t>Owner corrected 2026-09-05: the 125% entry is NORMAL. My first reading put normal at 110%.</t>
        </is>
      </c>
    </row>
    <row r="3">
      <c r="A3" t="inlineStr">
        <is>
          <t>media</t>
        </is>
      </c>
      <c r="B3" t="inlineStr">
        <is>
          <t>Medium</t>
        </is>
      </c>
      <c r="C3" t="inlineStr">
        <is>
          <t>hero</t>
        </is>
      </c>
      <c r="D3" t="n">
        <v>110</v>
      </c>
      <c r="E3" t="inlineStr">
        <is>
          <t>NEEDS CONFIRMATION</t>
        </is>
      </c>
      <c r="F3" t="inlineStr">
        <is>
          <t>With normal at 125%, the 110% in the owner's note most likely belongs to hero. If so the Royal Family is NOT penalised on Medium waves, which reverses what I wrote earlier. CONFIRM before use.</t>
        </is>
      </c>
    </row>
    <row r="4">
      <c r="A4" t="inlineStr">
        <is>
          <t>media</t>
        </is>
      </c>
      <c r="B4" t="inlineStr">
        <is>
          <t>Medium</t>
        </is>
      </c>
      <c r="C4" t="inlineStr">
        <is>
          <t>magic</t>
        </is>
      </c>
      <c r="D4" t="n">
        <v>75</v>
      </c>
      <c r="E4" t="inlineStr">
        <is>
          <t>NEEDS CONFIRMATION</t>
        </is>
      </c>
      <c r="F4" t="inlineStr">
        <is>
          <t>Probably 75%, but the source note grouped "magic/pierce/hero" and hero appears to sit at 110%, so the grouping is unclear. CONFIRM.</t>
        </is>
      </c>
    </row>
    <row r="5">
      <c r="A5" t="inlineStr">
        <is>
          <t>media</t>
        </is>
      </c>
      <c r="B5" t="inlineStr">
        <is>
          <t>Medium</t>
        </is>
      </c>
      <c r="C5" t="inlineStr">
        <is>
          <t>pierce</t>
        </is>
      </c>
      <c r="D5" t="n">
        <v>75</v>
      </c>
      <c r="E5" t="inlineStr">
        <is>
          <t>NEEDS CONFIRMATION</t>
        </is>
      </c>
      <c r="F5" t="inlineStr">
        <is>
          <t>Same grouping ambiguity as magic.</t>
        </is>
      </c>
    </row>
    <row r="6">
      <c r="A6" t="inlineStr">
        <is>
          <t>pesada</t>
        </is>
      </c>
      <c r="B6" t="inlineStr">
        <is>
          <t>Heavy</t>
        </is>
      </c>
      <c r="C6" t="inlineStr">
        <is>
          <t>magic</t>
        </is>
      </c>
      <c r="D6" t="n">
        <v>110</v>
      </c>
      <c r="E6" t="inlineStr">
        <is>
          <t>OBSERVED</t>
        </is>
      </c>
      <c r="F6" t="inlineStr">
        <is>
          <t>Owner read 2026-09-05.</t>
        </is>
      </c>
    </row>
    <row r="7">
      <c r="A7" t="inlineStr">
        <is>
          <t>pesada</t>
        </is>
      </c>
      <c r="B7" t="inlineStr">
        <is>
          <t>Heavy</t>
        </is>
      </c>
      <c r="C7" t="inlineStr">
        <is>
          <t>hero</t>
        </is>
      </c>
      <c r="D7" t="n">
        <v>110</v>
      </c>
      <c r="E7" t="inlineStr">
        <is>
          <t>OBSERVED</t>
        </is>
      </c>
      <c r="F7" t="inlineStr">
        <is>
          <t>Owner read 2026-09-05.</t>
        </is>
      </c>
    </row>
    <row r="8">
      <c r="A8" t="inlineStr">
        <is>
          <t>pesada</t>
        </is>
      </c>
      <c r="B8" t="inlineStr">
        <is>
          <t>Heavy</t>
        </is>
      </c>
      <c r="C8" t="inlineStr">
        <is>
          <t>all others</t>
        </is>
      </c>
      <c r="D8" t="n">
        <v>100</v>
      </c>
      <c r="E8" t="inlineStr">
        <is>
          <t>INFERRED</t>
        </is>
      </c>
      <c r="F8" t="inlineStr">
        <is>
          <t>The owner said only hero and magic are modified vs Heavy ("that's it"), so the rest are presumably unmodified. Not stated outright.</t>
        </is>
      </c>
    </row>
    <row r="9">
      <c r="A9" t="inlineStr">
        <is>
          <t>reforzada</t>
        </is>
      </c>
      <c r="B9" t="inlineStr">
        <is>
          <t>Fortified</t>
        </is>
      </c>
      <c r="C9" t="inlineStr">
        <is>
          <t>siege</t>
        </is>
      </c>
      <c r="D9" t="n">
        <v>160</v>
      </c>
      <c r="E9" t="inlineStr">
        <is>
          <t>OBSERVED</t>
        </is>
      </c>
      <c r="F9" t="inlineStr">
        <is>
          <t>The strongest multiplier recorded. Owner 2026-09-05.</t>
        </is>
      </c>
    </row>
    <row r="10">
      <c r="A10" t="inlineStr">
        <is>
          <t>reforzada</t>
        </is>
      </c>
      <c r="B10" t="inlineStr">
        <is>
          <t>Fortified</t>
        </is>
      </c>
      <c r="C10" t="inlineStr">
        <is>
          <t>hero</t>
        </is>
      </c>
      <c r="D10" t="n">
        <v>50</v>
      </c>
      <c r="E10" t="inlineStr">
        <is>
          <t>OBSERVED</t>
        </is>
      </c>
      <c r="F10" t="inlineStr">
        <is>
          <t>The harshest penalty recorded - halves hero-attack damage.</t>
        </is>
      </c>
    </row>
    <row r="11">
      <c r="A11" t="inlineStr">
        <is>
          <t>reforzada</t>
        </is>
      </c>
      <c r="B11" t="inlineStr">
        <is>
          <t>Fortified</t>
        </is>
      </c>
      <c r="C11" t="inlineStr">
        <is>
          <t>all others</t>
        </is>
      </c>
      <c r="D11" t="n">
        <v>75</v>
      </c>
      <c r="E11" t="inlineStr">
        <is>
          <t>OBSERVED</t>
        </is>
      </c>
      <c r="F11" t="inlineStr">
        <is>
          <t>Includes normal, magic and pierce.</t>
        </is>
      </c>
    </row>
    <row r="12">
      <c r="A12" t="inlineStr">
        <is>
          <t>ligera</t>
        </is>
      </c>
      <c r="B12" t="inlineStr">
        <is>
          <t>Light</t>
        </is>
      </c>
      <c r="C12" t="inlineStr">
        <is>
          <t>pierce</t>
        </is>
      </c>
      <c r="D12" t="n">
        <v>140</v>
      </c>
      <c r="E12" t="inlineStr">
        <is>
          <t>OBSERVED</t>
        </is>
      </c>
      <c r="F12" t="inlineStr">
        <is>
          <t>Owner 2026-09-05.</t>
        </is>
      </c>
    </row>
    <row r="13">
      <c r="A13" t="inlineStr">
        <is>
          <t>ligera</t>
        </is>
      </c>
      <c r="B13" t="inlineStr">
        <is>
          <t>Light</t>
        </is>
      </c>
      <c r="C13" t="inlineStr">
        <is>
          <t>magic</t>
        </is>
      </c>
      <c r="D13" t="n">
        <v>140</v>
      </c>
      <c r="E13" t="inlineStr">
        <is>
          <t>OBSERVED</t>
        </is>
      </c>
      <c r="F13" t="inlineStr">
        <is>
          <t>The reason the anti-air kits are magic: Light is the armour on every air wave.</t>
        </is>
      </c>
    </row>
    <row r="14">
      <c r="A14" t="inlineStr">
        <is>
          <t>ligera</t>
        </is>
      </c>
      <c r="B14" t="inlineStr">
        <is>
          <t>Light</t>
        </is>
      </c>
      <c r="C14" t="inlineStr">
        <is>
          <t>hero</t>
        </is>
      </c>
      <c r="D14" t="n">
        <v>110</v>
      </c>
      <c r="E14" t="inlineStr">
        <is>
          <t>OBSERVED</t>
        </is>
      </c>
      <c r="F14" t="inlineStr">
        <is>
          <t>Owner 2026-09-05.</t>
        </is>
      </c>
    </row>
    <row r="15">
      <c r="A15" t="inlineStr">
        <is>
          <t>ligera</t>
        </is>
      </c>
      <c r="B15" t="inlineStr">
        <is>
          <t>Light</t>
        </is>
      </c>
      <c r="C15" t="inlineStr">
        <is>
          <t>normal / siege</t>
        </is>
      </c>
      <c r="E15" t="inlineStr">
        <is>
          <t>NOT CAPTURED</t>
        </is>
      </c>
      <c r="F15" t="inlineStr">
        <is>
          <t>Not stated; presumably 100% or lower.</t>
        </is>
      </c>
    </row>
    <row r="16">
      <c r="A16" t="inlineStr">
        <is>
          <t>hero</t>
        </is>
      </c>
      <c r="B16" t="inlineStr">
        <is>
          <t>Hero</t>
        </is>
      </c>
      <c r="C16" t="inlineStr">
        <is>
          <t>hero</t>
        </is>
      </c>
      <c r="D16" t="n">
        <v>125</v>
      </c>
      <c r="E16" t="inlineStr">
        <is>
          <t>OBSERVED</t>
        </is>
      </c>
      <c r="F16" t="inlineStr">
        <is>
          <t>Best into Hero armour - and the armour cycle puts Hero on every boss wave.</t>
        </is>
      </c>
    </row>
    <row r="17">
      <c r="A17" t="inlineStr">
        <is>
          <t>hero</t>
        </is>
      </c>
      <c r="B17" t="inlineStr">
        <is>
          <t>Hero</t>
        </is>
      </c>
      <c r="C17" t="inlineStr">
        <is>
          <t>normal</t>
        </is>
      </c>
      <c r="D17" t="n">
        <v>95</v>
      </c>
      <c r="E17" t="inlineStr">
        <is>
          <t>OBSERVED</t>
        </is>
      </c>
    </row>
    <row r="18">
      <c r="A18" t="inlineStr">
        <is>
          <t>hero</t>
        </is>
      </c>
      <c r="B18" t="inlineStr">
        <is>
          <t>Hero</t>
        </is>
      </c>
      <c r="C18" t="inlineStr">
        <is>
          <t>siege</t>
        </is>
      </c>
      <c r="D18" t="n">
        <v>85</v>
      </c>
      <c r="E18" t="inlineStr">
        <is>
          <t>OBSERVED</t>
        </is>
      </c>
    </row>
    <row r="19">
      <c r="A19" t="inlineStr">
        <is>
          <t>hero</t>
        </is>
      </c>
      <c r="B19" t="inlineStr">
        <is>
          <t>Hero</t>
        </is>
      </c>
      <c r="C19" t="inlineStr">
        <is>
          <t>magic</t>
        </is>
      </c>
      <c r="D19" t="n">
        <v>75</v>
      </c>
      <c r="E19" t="inlineStr">
        <is>
          <t>OBSERVED</t>
        </is>
      </c>
      <c r="F19" t="inlineStr">
        <is>
          <t>Penalises the Tempest Hawk, which is 4/5 magic, on every boss wave.</t>
        </is>
      </c>
    </row>
    <row r="20">
      <c r="A20" t="inlineStr">
        <is>
          <t>hero</t>
        </is>
      </c>
      <c r="B20" t="inlineStr">
        <is>
          <t>Hero</t>
        </is>
      </c>
      <c r="C20" t="inlineStr">
        <is>
          <t>pierce</t>
        </is>
      </c>
      <c r="D20" t="n">
        <v>75</v>
      </c>
      <c r="E20" t="inlineStr">
        <is>
          <t>OBSERVED</t>
        </is>
      </c>
    </row>
    <row r="21">
      <c r="A21" t="inlineStr">
        <is>
          <t>hero</t>
        </is>
      </c>
      <c r="B21" t="inlineStr">
        <is>
          <t>Hero</t>
        </is>
      </c>
      <c r="C21" t="inlineStr">
        <is>
          <t>spells</t>
        </is>
      </c>
      <c r="D21" t="n">
        <v>75</v>
      </c>
      <c r="E21" t="inlineStr">
        <is>
          <t>OBSERVED</t>
        </is>
      </c>
      <c r="F21" t="inlineStr">
        <is>
          <t>SPELLS are their own damage category - first sighting of that as a type.</t>
        </is>
      </c>
    </row>
  </sheetData>
  <autoFilter ref="A1:F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8"/>
  <sheetViews>
    <sheetView workbookViewId="0">
      <pane ySplit="1" topLeftCell="A2" activePane="bottomLeft" state="frozen"/>
      <selection pane="bottomLeft" activeCell="A1" sqref="A1"/>
    </sheetView>
  </sheetViews>
  <sheetFormatPr baseColWidth="8" defaultRowHeight="15"/>
  <cols>
    <col width="29" customWidth="1" min="1" max="1"/>
    <col width="18" customWidth="1" min="2" max="2"/>
    <col width="18" customWidth="1" min="3" max="3"/>
    <col width="13" customWidth="1" min="4" max="4"/>
    <col width="14" customWidth="1" min="5" max="5"/>
    <col width="9" customWidth="1" min="6" max="6"/>
    <col width="14" customWidth="1" min="7" max="7"/>
    <col width="13" customWidth="1" min="8" max="8"/>
    <col width="11" customWidth="1" min="9" max="9"/>
    <col width="9" customWidth="1" min="10" max="10"/>
    <col width="13" customWidth="1" min="11" max="11"/>
    <col width="10" customWidth="1" min="12" max="12"/>
    <col width="11" customWidth="1" min="13" max="13"/>
    <col width="21" customWidth="1" min="14" max="14"/>
    <col width="9" customWidth="1" min="15" max="15"/>
  </cols>
  <sheetData>
    <row r="1">
      <c r="A1" s="1" t="inlineStr">
        <is>
          <t>name</t>
        </is>
      </c>
      <c r="B1" s="1" t="inlineStr">
        <is>
          <t>likely</t>
        </is>
      </c>
      <c r="C1" s="1" t="inlineStr">
        <is>
          <t>gold_bounty_base</t>
        </is>
      </c>
      <c r="D1" s="1" t="inlineStr">
        <is>
          <t>bounty_dice</t>
        </is>
      </c>
      <c r="E1" s="1" t="inlineStr">
        <is>
          <t>bounty_sides</t>
        </is>
      </c>
      <c r="F1" s="1" t="inlineStr">
        <is>
          <t>hp</t>
        </is>
      </c>
      <c r="G1" s="1" t="inlineStr">
        <is>
          <t>armour_value</t>
        </is>
      </c>
      <c r="H1" s="1" t="inlineStr">
        <is>
          <t>armour_type</t>
        </is>
      </c>
      <c r="I1" s="1" t="inlineStr">
        <is>
          <t>move_type</t>
        </is>
      </c>
      <c r="J1" s="1" t="inlineStr">
        <is>
          <t>speed</t>
        </is>
      </c>
      <c r="K1" s="1" t="inlineStr">
        <is>
          <t>attack_type</t>
        </is>
      </c>
      <c r="L1" s="1" t="inlineStr">
        <is>
          <t>atk_base</t>
        </is>
      </c>
      <c r="M1" s="1" t="inlineStr">
        <is>
          <t>atk_range</t>
        </is>
      </c>
      <c r="N1" s="1" t="inlineStr">
        <is>
          <t>abilities</t>
        </is>
      </c>
      <c r="O1" s="1" t="inlineStr">
        <is>
          <t>unit_id</t>
        </is>
      </c>
    </row>
    <row r="2">
      <c r="A2" t="inlineStr">
        <is>
          <t>Tyrant</t>
        </is>
      </c>
      <c r="B2" t="inlineStr">
        <is>
          <t>boss</t>
        </is>
      </c>
      <c r="C2" t="n">
        <v>40</v>
      </c>
      <c r="D2" t="n">
        <v>0</v>
      </c>
      <c r="E2" t="n">
        <v>0</v>
      </c>
      <c r="F2" t="n">
        <v>145000</v>
      </c>
      <c r="G2" t="n">
        <v>19</v>
      </c>
      <c r="J2" t="n">
        <v>485</v>
      </c>
      <c r="K2" t="inlineStr">
        <is>
          <t>siege</t>
        </is>
      </c>
      <c r="L2" t="n">
        <v>494</v>
      </c>
      <c r="M2" t="n">
        <v>100</v>
      </c>
      <c r="N2" t="inlineStr">
        <is>
          <t>Acht,A02A,ACav,ACua</t>
        </is>
      </c>
      <c r="O2" t="inlineStr">
        <is>
          <t>E01F</t>
        </is>
      </c>
    </row>
    <row r="3">
      <c r="A3" t="inlineStr">
        <is>
          <t>Brain Bug</t>
        </is>
      </c>
      <c r="B3" t="inlineStr">
        <is>
          <t>boss</t>
        </is>
      </c>
      <c r="C3" t="n">
        <v>35</v>
      </c>
      <c r="D3" t="n">
        <v>0</v>
      </c>
      <c r="E3" t="n">
        <v>0</v>
      </c>
      <c r="F3" t="n">
        <v>105000</v>
      </c>
      <c r="G3" t="n">
        <v>18</v>
      </c>
      <c r="J3" t="n">
        <v>220</v>
      </c>
      <c r="K3" t="inlineStr">
        <is>
          <t>siege</t>
        </is>
      </c>
      <c r="L3" t="n">
        <v>494</v>
      </c>
      <c r="M3" t="n">
        <v>100</v>
      </c>
      <c r="N3" t="inlineStr">
        <is>
          <t>A03B,ACua,ACav</t>
        </is>
      </c>
      <c r="O3" t="inlineStr">
        <is>
          <t>E02J</t>
        </is>
      </c>
    </row>
    <row r="4">
      <c r="A4" t="inlineStr">
        <is>
          <t>Cerebrate</t>
        </is>
      </c>
      <c r="B4" t="inlineStr">
        <is>
          <t>boss</t>
        </is>
      </c>
      <c r="C4" t="n">
        <v>35</v>
      </c>
      <c r="D4" t="n">
        <v>0</v>
      </c>
      <c r="E4" t="n">
        <v>0</v>
      </c>
      <c r="F4" t="n">
        <v>90000</v>
      </c>
      <c r="G4" t="n">
        <v>17</v>
      </c>
      <c r="J4" t="n">
        <v>425</v>
      </c>
      <c r="K4" t="inlineStr">
        <is>
          <t>siege</t>
        </is>
      </c>
      <c r="L4" t="n">
        <v>494</v>
      </c>
      <c r="M4" t="n">
        <v>100</v>
      </c>
      <c r="N4" t="inlineStr">
        <is>
          <t>ACua,ACav</t>
        </is>
      </c>
      <c r="O4" t="inlineStr">
        <is>
          <t>E01E</t>
        </is>
      </c>
    </row>
    <row r="5">
      <c r="A5" t="inlineStr">
        <is>
          <t>Slave Driver</t>
        </is>
      </c>
      <c r="B5" t="inlineStr">
        <is>
          <t>boss</t>
        </is>
      </c>
      <c r="C5" t="n">
        <v>25</v>
      </c>
      <c r="D5" t="n">
        <v>0</v>
      </c>
      <c r="E5" t="n">
        <v>0</v>
      </c>
      <c r="F5" t="n">
        <v>47500</v>
      </c>
      <c r="G5" t="n">
        <v>12</v>
      </c>
      <c r="H5" t="inlineStr">
        <is>
          <t>fort</t>
        </is>
      </c>
      <c r="J5" t="n">
        <v>360</v>
      </c>
      <c r="K5" t="inlineStr">
        <is>
          <t>siege</t>
        </is>
      </c>
      <c r="L5" t="n">
        <v>494</v>
      </c>
      <c r="M5" t="n">
        <v>100</v>
      </c>
      <c r="N5" t="inlineStr">
        <is>
          <t>AUfa,ACav</t>
        </is>
      </c>
      <c r="O5" t="inlineStr">
        <is>
          <t>E02Q</t>
        </is>
      </c>
    </row>
    <row r="6">
      <c r="A6" t="inlineStr">
        <is>
          <t>Rydik's Armorer</t>
        </is>
      </c>
      <c r="B6" t="inlineStr">
        <is>
          <t>boss</t>
        </is>
      </c>
      <c r="C6" t="n">
        <v>25</v>
      </c>
      <c r="D6" t="n">
        <v>0</v>
      </c>
      <c r="E6" t="n">
        <v>0</v>
      </c>
      <c r="F6" t="n">
        <v>41000</v>
      </c>
      <c r="G6" t="n">
        <v>9</v>
      </c>
      <c r="H6" t="inlineStr">
        <is>
          <t>fort</t>
        </is>
      </c>
      <c r="J6" t="n">
        <v>325</v>
      </c>
      <c r="K6" t="inlineStr">
        <is>
          <t>siege</t>
        </is>
      </c>
      <c r="L6" t="n">
        <v>494</v>
      </c>
      <c r="M6" t="n">
        <v>100</v>
      </c>
      <c r="N6" t="inlineStr">
        <is>
          <t>AUfa,ACav</t>
        </is>
      </c>
      <c r="O6" t="inlineStr">
        <is>
          <t>E01C</t>
        </is>
      </c>
    </row>
    <row r="7">
      <c r="A7" t="inlineStr">
        <is>
          <t>Rydik's Initiate</t>
        </is>
      </c>
      <c r="B7" t="inlineStr">
        <is>
          <t>boss</t>
        </is>
      </c>
      <c r="C7" t="n">
        <v>20</v>
      </c>
      <c r="D7" t="n">
        <v>0</v>
      </c>
      <c r="E7" t="n">
        <v>0</v>
      </c>
      <c r="F7" t="n">
        <v>23000</v>
      </c>
      <c r="G7" t="n">
        <v>9</v>
      </c>
      <c r="J7" t="n">
        <v>350</v>
      </c>
      <c r="K7" t="inlineStr">
        <is>
          <t>siege</t>
        </is>
      </c>
      <c r="L7" t="n">
        <v>494</v>
      </c>
      <c r="M7" t="n">
        <v>100</v>
      </c>
      <c r="N7" t="inlineStr">
        <is>
          <t>SCae,Arpl,ACua</t>
        </is>
      </c>
      <c r="O7" t="inlineStr">
        <is>
          <t>E01B</t>
        </is>
      </c>
    </row>
    <row r="8">
      <c r="A8" t="inlineStr">
        <is>
          <t>Ghost type Soul Reaper</t>
        </is>
      </c>
      <c r="B8" t="inlineStr">
        <is>
          <t>critter/minigame</t>
        </is>
      </c>
      <c r="C8" t="n">
        <v>20</v>
      </c>
      <c r="D8" t="n">
        <v>0</v>
      </c>
      <c r="E8" t="n">
        <v>0</v>
      </c>
      <c r="F8" t="n">
        <v>280</v>
      </c>
      <c r="G8" t="n">
        <v>0</v>
      </c>
      <c r="H8" t="inlineStr">
        <is>
          <t>small</t>
        </is>
      </c>
      <c r="L8" t="n">
        <v>33</v>
      </c>
      <c r="N8" t="inlineStr">
        <is>
          <t>Apiv</t>
        </is>
      </c>
      <c r="O8" t="inlineStr"/>
    </row>
    <row r="9">
      <c r="A9" t="inlineStr">
        <is>
          <t>Demonic Gruntlord</t>
        </is>
      </c>
      <c r="B9" t="inlineStr">
        <is>
          <t>boss</t>
        </is>
      </c>
      <c r="C9" t="n">
        <v>15</v>
      </c>
      <c r="D9" t="n">
        <v>0</v>
      </c>
      <c r="E9" t="n">
        <v>0</v>
      </c>
      <c r="F9" t="n">
        <v>13500</v>
      </c>
      <c r="G9" t="n">
        <v>8</v>
      </c>
      <c r="J9" t="n">
        <v>400</v>
      </c>
      <c r="K9" t="inlineStr">
        <is>
          <t>siege</t>
        </is>
      </c>
      <c r="L9" t="n">
        <v>494</v>
      </c>
      <c r="M9" t="n">
        <v>100</v>
      </c>
      <c r="N9" t="inlineStr">
        <is>
          <t>ACba,ACav</t>
        </is>
      </c>
      <c r="O9" t="inlineStr">
        <is>
          <t>E02L</t>
        </is>
      </c>
    </row>
    <row r="10">
      <c r="A10" t="inlineStr">
        <is>
          <t>Demonic Harbinger</t>
        </is>
      </c>
      <c r="B10" t="inlineStr">
        <is>
          <t>boss</t>
        </is>
      </c>
      <c r="C10" t="n">
        <v>15</v>
      </c>
      <c r="D10" t="n">
        <v>0</v>
      </c>
      <c r="E10" t="n">
        <v>0</v>
      </c>
      <c r="F10" t="n">
        <v>12000</v>
      </c>
      <c r="G10" t="n">
        <v>7</v>
      </c>
      <c r="J10" t="n">
        <v>315</v>
      </c>
      <c r="K10" t="inlineStr">
        <is>
          <t>siege</t>
        </is>
      </c>
      <c r="L10" t="n">
        <v>494</v>
      </c>
      <c r="M10" t="n">
        <v>100</v>
      </c>
      <c r="N10" t="inlineStr">
        <is>
          <t>ACav</t>
        </is>
      </c>
      <c r="O10" t="inlineStr">
        <is>
          <t>E01A</t>
        </is>
      </c>
    </row>
    <row r="11">
      <c r="A11" t="inlineStr">
        <is>
          <t>Shell Hunter</t>
        </is>
      </c>
      <c r="B11" t="inlineStr">
        <is>
          <t>critter/minigame</t>
        </is>
      </c>
      <c r="C11" t="n">
        <v>15</v>
      </c>
      <c r="D11" t="n">
        <v>0</v>
      </c>
      <c r="E11" t="n">
        <v>0</v>
      </c>
      <c r="F11" t="n">
        <v>800</v>
      </c>
      <c r="J11" t="n">
        <v>325</v>
      </c>
      <c r="L11" t="n">
        <v>20</v>
      </c>
      <c r="M11" t="n">
        <v>650</v>
      </c>
      <c r="N11" t="inlineStr">
        <is>
          <t>A01L,A072</t>
        </is>
      </c>
      <c r="O11" t="inlineStr"/>
    </row>
    <row r="12">
      <c r="A12" t="inlineStr">
        <is>
          <t>Exterminator</t>
        </is>
      </c>
      <c r="B12" t="inlineStr">
        <is>
          <t>critter/minigame</t>
        </is>
      </c>
      <c r="C12" t="n">
        <v>15</v>
      </c>
      <c r="D12" t="n">
        <v>0</v>
      </c>
      <c r="E12" t="n">
        <v>0</v>
      </c>
      <c r="F12" t="n">
        <v>1</v>
      </c>
      <c r="G12" t="n">
        <v>0</v>
      </c>
      <c r="J12" t="n">
        <v>290</v>
      </c>
      <c r="K12" t="inlineStr">
        <is>
          <t>magic</t>
        </is>
      </c>
      <c r="L12" t="n">
        <v>15</v>
      </c>
      <c r="N12" t="inlineStr">
        <is>
          <t>Amim,ANta</t>
        </is>
      </c>
      <c r="O12" t="inlineStr"/>
    </row>
    <row r="13">
      <c r="A13" t="inlineStr">
        <is>
          <t>Twisted Convert</t>
        </is>
      </c>
      <c r="B13" t="inlineStr">
        <is>
          <t>boss</t>
        </is>
      </c>
      <c r="C13" t="n">
        <v>10</v>
      </c>
      <c r="D13" t="n">
        <v>0</v>
      </c>
      <c r="E13" t="n">
        <v>0</v>
      </c>
      <c r="F13" t="n">
        <v>4500</v>
      </c>
      <c r="G13" t="n">
        <v>4</v>
      </c>
      <c r="J13" t="n">
        <v>315</v>
      </c>
      <c r="K13" t="inlineStr">
        <is>
          <t>siege</t>
        </is>
      </c>
      <c r="L13" t="n">
        <v>494</v>
      </c>
      <c r="M13" t="n">
        <v>100</v>
      </c>
      <c r="N13" t="inlineStr">
        <is>
          <t>ACds,ACua</t>
        </is>
      </c>
      <c r="O13" t="inlineStr">
        <is>
          <t>E019</t>
        </is>
      </c>
    </row>
    <row r="14">
      <c r="A14" t="inlineStr">
        <is>
          <t>Ghost type Murder</t>
        </is>
      </c>
      <c r="B14" t="inlineStr">
        <is>
          <t>critter/minigame</t>
        </is>
      </c>
      <c r="C14" t="n">
        <v>9</v>
      </c>
      <c r="D14" t="n">
        <v>0</v>
      </c>
      <c r="E14" t="n">
        <v>0</v>
      </c>
      <c r="F14" t="n">
        <v>140</v>
      </c>
      <c r="H14" t="inlineStr">
        <is>
          <t>small</t>
        </is>
      </c>
      <c r="J14" t="n">
        <v>300</v>
      </c>
      <c r="L14" t="n">
        <v>23</v>
      </c>
      <c r="M14" t="n">
        <v>125</v>
      </c>
      <c r="N14" t="inlineStr">
        <is>
          <t>Apiv</t>
        </is>
      </c>
      <c r="O14" t="inlineStr"/>
    </row>
    <row r="15">
      <c r="A15" t="inlineStr">
        <is>
          <t>Ghost type Vampire</t>
        </is>
      </c>
      <c r="B15" t="inlineStr">
        <is>
          <t>critter/minigame</t>
        </is>
      </c>
      <c r="C15" t="n">
        <v>7</v>
      </c>
      <c r="D15" t="n">
        <v>0</v>
      </c>
      <c r="E15" t="n">
        <v>0</v>
      </c>
      <c r="F15" t="n">
        <v>70</v>
      </c>
      <c r="G15" t="n">
        <v>0</v>
      </c>
      <c r="H15" t="inlineStr">
        <is>
          <t>small</t>
        </is>
      </c>
      <c r="J15" t="n">
        <v>350</v>
      </c>
      <c r="L15" t="n">
        <v>6</v>
      </c>
      <c r="M15" t="n">
        <v>125</v>
      </c>
      <c r="N15" t="inlineStr">
        <is>
          <t>Apiv</t>
        </is>
      </c>
      <c r="O15" t="inlineStr"/>
    </row>
    <row r="16">
      <c r="A16" t="inlineStr">
        <is>
          <t>Uber Tasty Fishy!</t>
        </is>
      </c>
      <c r="B16" t="inlineStr">
        <is>
          <t>critter/minigame</t>
        </is>
      </c>
      <c r="C16" t="n">
        <v>7</v>
      </c>
      <c r="D16" t="n">
        <v>0</v>
      </c>
      <c r="E16" t="n">
        <v>0</v>
      </c>
      <c r="F16" t="n">
        <v>5</v>
      </c>
      <c r="G16" t="n">
        <v>0</v>
      </c>
      <c r="H16" t="inlineStr">
        <is>
          <t>none</t>
        </is>
      </c>
      <c r="I16" t="inlineStr">
        <is>
          <t>float</t>
        </is>
      </c>
      <c r="J16" t="n">
        <v>375</v>
      </c>
      <c r="N16" t="inlineStr">
        <is>
          <t>Awan</t>
        </is>
      </c>
      <c r="O16" t="inlineStr"/>
    </row>
    <row r="17">
      <c r="A17" t="inlineStr">
        <is>
          <t>Very Hungry Rat</t>
        </is>
      </c>
      <c r="B17" t="inlineStr">
        <is>
          <t>critter/minigame</t>
        </is>
      </c>
      <c r="C17" t="n">
        <v>6</v>
      </c>
      <c r="D17" t="n">
        <v>0</v>
      </c>
      <c r="E17" t="n">
        <v>0</v>
      </c>
      <c r="F17" t="n">
        <v>25</v>
      </c>
      <c r="G17" t="n">
        <v>0</v>
      </c>
      <c r="H17" t="inlineStr">
        <is>
          <t>medium</t>
        </is>
      </c>
      <c r="I17" t="inlineStr">
        <is>
          <t>foot</t>
        </is>
      </c>
      <c r="J17" t="n">
        <v>400</v>
      </c>
      <c r="L17" t="n">
        <v>18</v>
      </c>
      <c r="M17" t="n">
        <v>125</v>
      </c>
      <c r="O17" t="inlineStr"/>
    </row>
    <row r="18">
      <c r="A18" t="inlineStr">
        <is>
          <t>Bloodlord</t>
        </is>
      </c>
      <c r="B18" t="inlineStr">
        <is>
          <t>boss</t>
        </is>
      </c>
      <c r="C18" t="n">
        <v>5</v>
      </c>
      <c r="D18" t="n">
        <v>0</v>
      </c>
      <c r="E18" t="n">
        <v>0</v>
      </c>
      <c r="F18" t="n">
        <v>1490</v>
      </c>
      <c r="G18" t="n">
        <v>3</v>
      </c>
      <c r="J18" t="n">
        <v>325</v>
      </c>
      <c r="K18" t="inlineStr">
        <is>
          <t>siege</t>
        </is>
      </c>
      <c r="L18" t="n">
        <v>494</v>
      </c>
      <c r="M18" t="n">
        <v>100</v>
      </c>
      <c r="N18" t="inlineStr">
        <is>
          <t>Absk,ACua</t>
        </is>
      </c>
      <c r="O18" t="inlineStr">
        <is>
          <t>E02S</t>
        </is>
      </c>
    </row>
    <row r="19">
      <c r="A19" t="inlineStr">
        <is>
          <t>Vile Cultist</t>
        </is>
      </c>
      <c r="B19" t="inlineStr">
        <is>
          <t>boss</t>
        </is>
      </c>
      <c r="C19" t="n">
        <v>5</v>
      </c>
      <c r="D19" t="n">
        <v>0</v>
      </c>
      <c r="E19" t="n">
        <v>0</v>
      </c>
      <c r="F19" t="n">
        <v>1340</v>
      </c>
      <c r="G19" t="n">
        <v>2</v>
      </c>
      <c r="J19" t="n">
        <v>325</v>
      </c>
      <c r="K19" t="inlineStr">
        <is>
          <t>siege</t>
        </is>
      </c>
      <c r="L19" t="n">
        <v>494</v>
      </c>
      <c r="M19" t="n">
        <v>100</v>
      </c>
      <c r="N19" t="inlineStr">
        <is>
          <t>A02L,ACua</t>
        </is>
      </c>
      <c r="O19" t="inlineStr">
        <is>
          <t>E018</t>
        </is>
      </c>
    </row>
    <row r="20">
      <c r="A20" t="inlineStr">
        <is>
          <t>Ghost type Demon</t>
        </is>
      </c>
      <c r="B20" t="inlineStr">
        <is>
          <t>critter/minigame</t>
        </is>
      </c>
      <c r="C20" t="n">
        <v>5</v>
      </c>
      <c r="D20" t="n">
        <v>0</v>
      </c>
      <c r="E20" t="n">
        <v>0</v>
      </c>
      <c r="F20" t="n">
        <v>100</v>
      </c>
      <c r="L20" t="n">
        <v>27</v>
      </c>
      <c r="M20" t="n">
        <v>100</v>
      </c>
      <c r="N20" t="inlineStr">
        <is>
          <t>Apiv</t>
        </is>
      </c>
      <c r="O20" t="inlineStr"/>
    </row>
    <row r="21">
      <c r="A21" t="inlineStr">
        <is>
          <t>Super Tasty Fishy!</t>
        </is>
      </c>
      <c r="B21" t="inlineStr">
        <is>
          <t>critter/minigame</t>
        </is>
      </c>
      <c r="C21" t="n">
        <v>5</v>
      </c>
      <c r="D21" t="n">
        <v>0</v>
      </c>
      <c r="E21" t="n">
        <v>0</v>
      </c>
      <c r="F21" t="n">
        <v>5</v>
      </c>
      <c r="G21" t="n">
        <v>0</v>
      </c>
      <c r="H21" t="inlineStr">
        <is>
          <t>none</t>
        </is>
      </c>
      <c r="I21" t="inlineStr">
        <is>
          <t>float</t>
        </is>
      </c>
      <c r="J21" t="n">
        <v>375</v>
      </c>
      <c r="N21" t="inlineStr">
        <is>
          <t>Awan</t>
        </is>
      </c>
      <c r="O21" t="inlineStr"/>
    </row>
    <row r="22">
      <c r="B22" t="inlineStr">
        <is>
          <t>critter/minigame</t>
        </is>
      </c>
      <c r="C22" t="n">
        <v>5</v>
      </c>
      <c r="D22" t="n">
        <v>0</v>
      </c>
      <c r="E22" t="n">
        <v>0</v>
      </c>
      <c r="F22" t="n">
        <v>5</v>
      </c>
      <c r="N22" t="inlineStr">
        <is>
          <t>Advc,Adev,Apak</t>
        </is>
      </c>
      <c r="O22" t="inlineStr"/>
    </row>
    <row r="23">
      <c r="A23" t="inlineStr">
        <is>
          <t>Ravenous Pig</t>
        </is>
      </c>
      <c r="B23" t="inlineStr">
        <is>
          <t>critter/minigame</t>
        </is>
      </c>
      <c r="C23" t="n">
        <v>5</v>
      </c>
      <c r="F23" t="n">
        <v>0</v>
      </c>
      <c r="L23" t="n">
        <v>8</v>
      </c>
      <c r="M23" t="n">
        <v>125</v>
      </c>
      <c r="O23" t="inlineStr"/>
    </row>
    <row r="24">
      <c r="A24" t="inlineStr">
        <is>
          <t>Fast Turtle</t>
        </is>
      </c>
      <c r="B24" t="inlineStr">
        <is>
          <t>critter/minigame</t>
        </is>
      </c>
      <c r="C24" t="n">
        <v>4</v>
      </c>
      <c r="D24" t="n">
        <v>0</v>
      </c>
      <c r="E24" t="n">
        <v>0</v>
      </c>
      <c r="F24" t="n">
        <v>50</v>
      </c>
      <c r="G24" t="n">
        <v>0</v>
      </c>
      <c r="J24" t="n">
        <v>400</v>
      </c>
      <c r="L24" t="n">
        <v>36</v>
      </c>
      <c r="M24" t="n">
        <v>300</v>
      </c>
      <c r="N24" t="inlineStr">
        <is>
          <t>Awan</t>
        </is>
      </c>
      <c r="O24" t="inlineStr"/>
    </row>
    <row r="25">
      <c r="A25" t="inlineStr">
        <is>
          <t>Kandy Kid</t>
        </is>
      </c>
      <c r="B25" t="inlineStr">
        <is>
          <t>critter/minigame</t>
        </is>
      </c>
      <c r="C25" t="n">
        <v>4</v>
      </c>
      <c r="D25" t="n">
        <v>0</v>
      </c>
      <c r="E25" t="n">
        <v>0</v>
      </c>
      <c r="F25" t="n">
        <v>15</v>
      </c>
      <c r="G25" t="n">
        <v>0</v>
      </c>
      <c r="H25" t="inlineStr">
        <is>
          <t>normal</t>
        </is>
      </c>
      <c r="I25" t="inlineStr">
        <is>
          <t>foot</t>
        </is>
      </c>
      <c r="J25" t="n">
        <v>330</v>
      </c>
      <c r="L25" t="n">
        <v>68</v>
      </c>
      <c r="M25" t="n">
        <v>80</v>
      </c>
      <c r="O25" t="inlineStr"/>
    </row>
    <row r="26">
      <c r="A26" t="inlineStr">
        <is>
          <t>Tasty Fishy!</t>
        </is>
      </c>
      <c r="B26" t="inlineStr">
        <is>
          <t>critter/minigame</t>
        </is>
      </c>
      <c r="C26" t="n">
        <v>4</v>
      </c>
      <c r="D26" t="n">
        <v>0</v>
      </c>
      <c r="E26" t="n">
        <v>0</v>
      </c>
      <c r="F26" t="n">
        <v>5</v>
      </c>
      <c r="G26" t="n">
        <v>0</v>
      </c>
      <c r="H26" t="inlineStr">
        <is>
          <t>none</t>
        </is>
      </c>
      <c r="I26" t="inlineStr">
        <is>
          <t>float</t>
        </is>
      </c>
      <c r="N26" t="inlineStr">
        <is>
          <t>Awan</t>
        </is>
      </c>
      <c r="O26" t="inlineStr"/>
    </row>
    <row r="27">
      <c r="A27" t="inlineStr">
        <is>
          <t>Spotty</t>
        </is>
      </c>
      <c r="B27" t="inlineStr">
        <is>
          <t>critter/minigame</t>
        </is>
      </c>
      <c r="C27" t="n">
        <v>4</v>
      </c>
      <c r="D27" t="n">
        <v>0</v>
      </c>
      <c r="E27" t="n">
        <v>0</v>
      </c>
      <c r="F27" t="n">
        <v>1</v>
      </c>
      <c r="G27" t="n">
        <v>0</v>
      </c>
      <c r="H27" t="inlineStr">
        <is>
          <t>hero</t>
        </is>
      </c>
      <c r="I27" t="inlineStr">
        <is>
          <t>foot</t>
        </is>
      </c>
      <c r="J27" t="n">
        <v>522</v>
      </c>
      <c r="N27" t="inlineStr">
        <is>
          <t>A00C,Avul,Awan</t>
        </is>
      </c>
      <c r="O27" t="inlineStr"/>
    </row>
    <row r="28">
      <c r="A28" t="inlineStr">
        <is>
          <t>Light the Fuse!</t>
        </is>
      </c>
      <c r="B28" t="inlineStr">
        <is>
          <t>critter/minigame</t>
        </is>
      </c>
      <c r="C28" t="n">
        <v>3</v>
      </c>
      <c r="D28" t="n">
        <v>0</v>
      </c>
      <c r="E28" t="n">
        <v>0</v>
      </c>
      <c r="F28" t="n">
        <v>325</v>
      </c>
      <c r="G28" t="n">
        <v>4</v>
      </c>
      <c r="J28" t="n">
        <v>150</v>
      </c>
      <c r="N28" t="inlineStr">
        <is>
          <t>Asds</t>
        </is>
      </c>
      <c r="O28" t="inlineStr"/>
    </row>
    <row r="29">
      <c r="A29" t="inlineStr">
        <is>
          <t>Ghost type Poltergeist Worm</t>
        </is>
      </c>
      <c r="B29" t="inlineStr">
        <is>
          <t>critter/minigame</t>
        </is>
      </c>
      <c r="C29" t="n">
        <v>3</v>
      </c>
      <c r="D29" t="n">
        <v>0</v>
      </c>
      <c r="E29" t="n">
        <v>0</v>
      </c>
      <c r="F29" t="n">
        <v>40</v>
      </c>
      <c r="G29" t="n">
        <v>0</v>
      </c>
      <c r="H29" t="inlineStr">
        <is>
          <t>small</t>
        </is>
      </c>
      <c r="N29" t="inlineStr">
        <is>
          <t>Awan,Apiv</t>
        </is>
      </c>
      <c r="O29" t="inlineStr"/>
    </row>
    <row r="30">
      <c r="A30" t="inlineStr">
        <is>
          <t>Slow Turtle</t>
        </is>
      </c>
      <c r="B30" t="inlineStr">
        <is>
          <t>critter/minigame</t>
        </is>
      </c>
      <c r="C30" t="n">
        <v>3</v>
      </c>
      <c r="D30" t="n">
        <v>0</v>
      </c>
      <c r="E30" t="n">
        <v>0</v>
      </c>
      <c r="F30" t="n">
        <v>37</v>
      </c>
      <c r="G30" t="n">
        <v>0</v>
      </c>
      <c r="I30" t="inlineStr">
        <is>
          <t>foot</t>
        </is>
      </c>
      <c r="J30" t="n">
        <v>300</v>
      </c>
      <c r="N30" t="inlineStr">
        <is>
          <t>Awan</t>
        </is>
      </c>
      <c r="O30" t="inlineStr"/>
    </row>
    <row r="31">
      <c r="A31" t="inlineStr">
        <is>
          <t>Viper Scorpion</t>
        </is>
      </c>
      <c r="B31" t="inlineStr">
        <is>
          <t>critter/minigame</t>
        </is>
      </c>
      <c r="C31" t="n">
        <v>3</v>
      </c>
      <c r="D31" t="n">
        <v>0</v>
      </c>
      <c r="E31" t="n">
        <v>0</v>
      </c>
      <c r="F31" t="n">
        <v>30</v>
      </c>
      <c r="J31" t="n">
        <v>310</v>
      </c>
      <c r="K31" t="inlineStr">
        <is>
          <t>pierce</t>
        </is>
      </c>
      <c r="L31" t="n">
        <v>29</v>
      </c>
      <c r="M31" t="n">
        <v>80</v>
      </c>
      <c r="O31" t="inlineStr"/>
    </row>
    <row r="32">
      <c r="A32" t="inlineStr">
        <is>
          <t>Fishy!</t>
        </is>
      </c>
      <c r="B32" t="inlineStr">
        <is>
          <t>critter/minigame</t>
        </is>
      </c>
      <c r="C32" t="n">
        <v>3</v>
      </c>
      <c r="D32" t="n">
        <v>0</v>
      </c>
      <c r="E32" t="n">
        <v>0</v>
      </c>
      <c r="F32" t="n">
        <v>5</v>
      </c>
      <c r="G32" t="n">
        <v>0</v>
      </c>
      <c r="H32" t="inlineStr">
        <is>
          <t>none</t>
        </is>
      </c>
      <c r="I32" t="inlineStr">
        <is>
          <t>float</t>
        </is>
      </c>
      <c r="J32" t="n">
        <v>250</v>
      </c>
      <c r="N32" t="inlineStr">
        <is>
          <t>Awan</t>
        </is>
      </c>
      <c r="O32" t="inlineStr"/>
    </row>
    <row r="33">
      <c r="A33" t="inlineStr">
        <is>
          <t>Mega Revenge</t>
        </is>
      </c>
      <c r="B33" t="inlineStr">
        <is>
          <t>critter/minigame</t>
        </is>
      </c>
      <c r="C33" t="n">
        <v>3</v>
      </c>
      <c r="D33" t="n">
        <v>0</v>
      </c>
      <c r="E33" t="n">
        <v>0</v>
      </c>
      <c r="F33" t="n">
        <v>5</v>
      </c>
      <c r="J33" t="n">
        <v>330</v>
      </c>
      <c r="L33" t="n">
        <v>2</v>
      </c>
      <c r="M33" t="n">
        <v>350</v>
      </c>
      <c r="O33" t="inlineStr"/>
    </row>
    <row r="34">
      <c r="A34" t="inlineStr">
        <is>
          <t>Moonlight</t>
        </is>
      </c>
      <c r="B34" t="inlineStr">
        <is>
          <t>critter/minigame</t>
        </is>
      </c>
      <c r="C34" t="n">
        <v>3</v>
      </c>
      <c r="D34" t="n">
        <v>0</v>
      </c>
      <c r="E34" t="n">
        <v>0</v>
      </c>
      <c r="F34" t="n">
        <v>1</v>
      </c>
      <c r="G34" t="n">
        <v>0</v>
      </c>
      <c r="H34" t="inlineStr">
        <is>
          <t>hero</t>
        </is>
      </c>
      <c r="J34" t="n">
        <v>450</v>
      </c>
      <c r="N34" t="inlineStr">
        <is>
          <t>A00D,Avul,Awan</t>
        </is>
      </c>
      <c r="O34" t="inlineStr"/>
    </row>
    <row r="35">
      <c r="A35" t="inlineStr">
        <is>
          <t>Sentinel Lt.</t>
        </is>
      </c>
      <c r="B35" t="inlineStr">
        <is>
          <t>critter/minigame</t>
        </is>
      </c>
      <c r="C35" t="n">
        <v>2</v>
      </c>
      <c r="D35" t="n">
        <v>0</v>
      </c>
      <c r="E35" t="n">
        <v>0</v>
      </c>
      <c r="F35" t="n">
        <v>240</v>
      </c>
      <c r="J35" t="n">
        <v>370</v>
      </c>
      <c r="O35" t="inlineStr"/>
    </row>
    <row r="36">
      <c r="A36" t="inlineStr">
        <is>
          <t>Cleaver</t>
        </is>
      </c>
      <c r="B36" t="inlineStr">
        <is>
          <t>critter/minigame</t>
        </is>
      </c>
      <c r="C36" t="n">
        <v>2</v>
      </c>
      <c r="D36" t="n">
        <v>0</v>
      </c>
      <c r="E36" t="n">
        <v>0</v>
      </c>
      <c r="F36" t="n">
        <v>45</v>
      </c>
      <c r="H36" t="inlineStr">
        <is>
          <t>large</t>
        </is>
      </c>
      <c r="I36" t="inlineStr">
        <is>
          <t>foot</t>
        </is>
      </c>
      <c r="J36" t="n">
        <v>270</v>
      </c>
      <c r="K36" t="inlineStr">
        <is>
          <t>normal</t>
        </is>
      </c>
      <c r="L36" t="n">
        <v>19</v>
      </c>
      <c r="M36" t="n">
        <v>125</v>
      </c>
      <c r="O36" t="inlineStr"/>
    </row>
    <row r="37">
      <c r="A37" t="inlineStr">
        <is>
          <t>Skeletal Battler</t>
        </is>
      </c>
      <c r="B37" t="inlineStr">
        <is>
          <t>critter/minigame</t>
        </is>
      </c>
      <c r="C37" t="n">
        <v>2</v>
      </c>
      <c r="D37" t="n">
        <v>0</v>
      </c>
      <c r="E37" t="n">
        <v>0</v>
      </c>
      <c r="F37" t="n">
        <v>45</v>
      </c>
      <c r="J37" t="n">
        <v>270</v>
      </c>
      <c r="L37" t="n">
        <v>19</v>
      </c>
      <c r="M37" t="n">
        <v>125</v>
      </c>
      <c r="O37" t="inlineStr"/>
    </row>
    <row r="38">
      <c r="A38" t="inlineStr">
        <is>
          <t>Baby Turtle</t>
        </is>
      </c>
      <c r="B38" t="inlineStr">
        <is>
          <t>critter/minigame</t>
        </is>
      </c>
      <c r="C38" t="n">
        <v>2</v>
      </c>
      <c r="D38" t="n">
        <v>0</v>
      </c>
      <c r="E38" t="n">
        <v>0</v>
      </c>
      <c r="F38" t="n">
        <v>20</v>
      </c>
      <c r="G38" t="n">
        <v>0</v>
      </c>
      <c r="H38" t="inlineStr">
        <is>
          <t>small</t>
        </is>
      </c>
      <c r="J38" t="n">
        <v>200</v>
      </c>
      <c r="N38" t="inlineStr">
        <is>
          <t>Awan</t>
        </is>
      </c>
      <c r="O38" t="inlineStr"/>
    </row>
    <row r="39">
      <c r="A39" t="inlineStr">
        <is>
          <t>Spitting Spider</t>
        </is>
      </c>
      <c r="B39" t="inlineStr">
        <is>
          <t>critter/minigame</t>
        </is>
      </c>
      <c r="C39" t="n">
        <v>2</v>
      </c>
      <c r="D39" t="n">
        <v>0</v>
      </c>
      <c r="F39" t="n">
        <v>20</v>
      </c>
      <c r="I39" t="inlineStr">
        <is>
          <t>foot</t>
        </is>
      </c>
      <c r="J39" t="n">
        <v>250</v>
      </c>
      <c r="L39" t="n">
        <v>29</v>
      </c>
      <c r="M39" t="n">
        <v>80</v>
      </c>
      <c r="O39" t="inlineStr"/>
    </row>
    <row r="40">
      <c r="A40" t="inlineStr">
        <is>
          <t>Stinky Rat</t>
        </is>
      </c>
      <c r="B40" t="inlineStr">
        <is>
          <t>critter/minigame</t>
        </is>
      </c>
      <c r="C40" t="n">
        <v>2</v>
      </c>
      <c r="F40" t="n">
        <v>8</v>
      </c>
      <c r="J40" t="n">
        <v>300</v>
      </c>
      <c r="M40" t="n">
        <v>100</v>
      </c>
      <c r="O40" t="inlineStr"/>
    </row>
    <row r="41">
      <c r="A41" t="inlineStr">
        <is>
          <t>Creampuff</t>
        </is>
      </c>
      <c r="B41" t="inlineStr">
        <is>
          <t>critter/minigame</t>
        </is>
      </c>
      <c r="C41" t="n">
        <v>2</v>
      </c>
      <c r="D41" t="n">
        <v>0</v>
      </c>
      <c r="E41" t="n">
        <v>0</v>
      </c>
      <c r="F41" t="n">
        <v>1</v>
      </c>
      <c r="H41" t="inlineStr">
        <is>
          <t>hero</t>
        </is>
      </c>
      <c r="J41" t="n">
        <v>350</v>
      </c>
      <c r="N41" t="inlineStr">
        <is>
          <t>Avul,Awan</t>
        </is>
      </c>
      <c r="O41" t="inlineStr"/>
    </row>
    <row r="42">
      <c r="A42" t="inlineStr">
        <is>
          <t>Blazin Peon</t>
        </is>
      </c>
      <c r="B42" t="inlineStr">
        <is>
          <t>critter/minigame</t>
        </is>
      </c>
      <c r="C42" t="n">
        <v>2</v>
      </c>
      <c r="D42" t="n">
        <v>0</v>
      </c>
      <c r="E42" t="n">
        <v>0</v>
      </c>
      <c r="F42" t="n">
        <v>1</v>
      </c>
      <c r="J42" t="n">
        <v>310</v>
      </c>
      <c r="N42" t="inlineStr">
        <is>
          <t>Avul</t>
        </is>
      </c>
      <c r="O42" t="inlineStr"/>
    </row>
    <row r="43">
      <c r="A43" t="inlineStr">
        <is>
          <t>Burning Treant</t>
        </is>
      </c>
      <c r="B43" t="inlineStr">
        <is>
          <t>critter/minigame</t>
        </is>
      </c>
      <c r="C43" t="n">
        <v>2</v>
      </c>
      <c r="D43" t="n">
        <v>0</v>
      </c>
      <c r="E43" t="n">
        <v>0</v>
      </c>
      <c r="F43" t="n">
        <v>1</v>
      </c>
      <c r="G43" t="n">
        <v>0</v>
      </c>
      <c r="J43" t="n">
        <v>310</v>
      </c>
      <c r="N43" t="inlineStr">
        <is>
          <t>Avul</t>
        </is>
      </c>
      <c r="O43" t="inlineStr"/>
    </row>
    <row r="44">
      <c r="A44" t="inlineStr">
        <is>
          <t>Revenge</t>
        </is>
      </c>
      <c r="B44" t="inlineStr">
        <is>
          <t>critter/minigame</t>
        </is>
      </c>
      <c r="C44" t="n">
        <v>2</v>
      </c>
      <c r="D44" t="n">
        <v>0</v>
      </c>
      <c r="E44" t="n">
        <v>0</v>
      </c>
      <c r="F44" t="n">
        <v>1</v>
      </c>
      <c r="G44" t="n">
        <v>0</v>
      </c>
      <c r="H44" t="inlineStr">
        <is>
          <t>small</t>
        </is>
      </c>
      <c r="J44" t="n">
        <v>300</v>
      </c>
      <c r="L44" t="n">
        <v>4</v>
      </c>
      <c r="M44" t="n">
        <v>350</v>
      </c>
      <c r="O44" t="inlineStr"/>
    </row>
    <row r="45">
      <c r="A45" t="inlineStr">
        <is>
          <t>Sentinel</t>
        </is>
      </c>
      <c r="B45" t="inlineStr">
        <is>
          <t>critter/minigame</t>
        </is>
      </c>
      <c r="C45" t="n">
        <v>1</v>
      </c>
      <c r="D45" t="n">
        <v>0</v>
      </c>
      <c r="E45" t="n">
        <v>0</v>
      </c>
      <c r="F45" t="n">
        <v>80</v>
      </c>
      <c r="J45" t="n">
        <v>320</v>
      </c>
      <c r="O45" t="inlineStr"/>
    </row>
    <row r="46">
      <c r="A46" t="inlineStr">
        <is>
          <t>Javeliner</t>
        </is>
      </c>
      <c r="B46" t="inlineStr">
        <is>
          <t>critter/minigame</t>
        </is>
      </c>
      <c r="C46" t="n">
        <v>1</v>
      </c>
      <c r="D46" t="n">
        <v>0</v>
      </c>
      <c r="E46" t="n">
        <v>0</v>
      </c>
      <c r="F46" t="n">
        <v>35</v>
      </c>
      <c r="H46" t="inlineStr">
        <is>
          <t>medium</t>
        </is>
      </c>
      <c r="I46" t="inlineStr">
        <is>
          <t>foot</t>
        </is>
      </c>
      <c r="J46" t="n">
        <v>270</v>
      </c>
      <c r="L46" t="n">
        <v>10</v>
      </c>
      <c r="O46" t="inlineStr"/>
    </row>
    <row r="47">
      <c r="A47" t="inlineStr">
        <is>
          <t>Kalma Flinger</t>
        </is>
      </c>
      <c r="B47" t="inlineStr">
        <is>
          <t>critter/minigame</t>
        </is>
      </c>
      <c r="C47" t="n">
        <v>1</v>
      </c>
      <c r="D47" t="n">
        <v>0</v>
      </c>
      <c r="E47" t="n">
        <v>0</v>
      </c>
      <c r="F47" t="n">
        <v>35</v>
      </c>
      <c r="G47" t="n">
        <v>2</v>
      </c>
      <c r="H47" t="inlineStr">
        <is>
          <t>medium</t>
        </is>
      </c>
      <c r="I47" t="inlineStr">
        <is>
          <t>foot</t>
        </is>
      </c>
      <c r="J47" t="n">
        <v>270</v>
      </c>
      <c r="L47" t="n">
        <v>10</v>
      </c>
      <c r="O47" t="inlineStr"/>
    </row>
    <row r="48">
      <c r="A48" t="inlineStr">
        <is>
          <t>Smelly Booger</t>
        </is>
      </c>
      <c r="B48" t="inlineStr">
        <is>
          <t>critter/minigame</t>
        </is>
      </c>
      <c r="C48" t="n">
        <v>1</v>
      </c>
      <c r="F48" t="n">
        <v>8</v>
      </c>
      <c r="M48" t="n">
        <v>125</v>
      </c>
      <c r="O48" t="inlineStr"/>
    </row>
  </sheetData>
  <autoFilter ref="A1:O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11" customWidth="1" min="3" max="3"/>
    <col width="26" customWidth="1" min="4" max="4"/>
    <col width="17" customWidth="1" min="5" max="5"/>
    <col width="9" customWidth="1" min="6" max="6"/>
    <col width="12" customWidth="1" min="7" max="7"/>
    <col width="11" customWidth="1" min="8" max="8"/>
    <col width="14" customWidth="1" min="9" max="9"/>
    <col width="12" customWidth="1" min="10" max="10"/>
    <col width="15" customWidth="1" min="11" max="11"/>
    <col width="24" customWidth="1" min="12" max="12"/>
  </cols>
  <sheetData>
    <row r="1">
      <c r="A1" s="1" t="inlineStr">
        <is>
          <t>hero</t>
        </is>
      </c>
      <c r="B1" s="1" t="inlineStr">
        <is>
          <t>tower</t>
        </is>
      </c>
      <c r="C1" s="1" t="inlineStr">
        <is>
          <t>cost_gold</t>
        </is>
      </c>
      <c r="D1" s="1" t="inlineStr">
        <is>
          <t>ability</t>
        </is>
      </c>
      <c r="E1" s="1" t="inlineStr">
        <is>
          <t>damage_per_cast</t>
        </is>
      </c>
      <c r="F1" s="1" t="inlineStr">
        <is>
          <t>targets</t>
        </is>
      </c>
      <c r="G1" s="1" t="inlineStr">
        <is>
          <t>cooldown_s</t>
        </is>
      </c>
      <c r="H1" s="1" t="inlineStr">
        <is>
          <t>mana_cost</t>
        </is>
      </c>
      <c r="I1" s="1" t="inlineStr">
        <is>
          <t>mana_regen_s</t>
        </is>
      </c>
      <c r="J1" s="1" t="inlineStr">
        <is>
          <t>limited_by</t>
        </is>
      </c>
      <c r="K1" s="1" t="inlineStr">
        <is>
          <t>sustained_dps</t>
        </is>
      </c>
      <c r="L1" s="1" t="inlineStr">
        <is>
          <t>sustained_dps_per_gold</t>
        </is>
      </c>
    </row>
    <row r="2">
      <c r="A2" t="inlineStr">
        <is>
          <t>arcane</t>
        </is>
      </c>
      <c r="B2" t="inlineStr">
        <is>
          <t>Arctic Blaster</t>
        </is>
      </c>
      <c r="C2" t="n">
        <v>30</v>
      </c>
      <c r="D2" t="inlineStr">
        <is>
          <t>Arctic Blast</t>
        </is>
      </c>
      <c r="E2" t="n">
        <v>120</v>
      </c>
      <c r="F2" t="n">
        <v>1</v>
      </c>
      <c r="G2" t="n">
        <v>0.85</v>
      </c>
      <c r="H2" t="n">
        <v>17</v>
      </c>
      <c r="I2" t="n">
        <v>5.64</v>
      </c>
      <c r="J2" t="inlineStr">
        <is>
          <t>mana</t>
        </is>
      </c>
      <c r="K2" t="n">
        <v>39.8</v>
      </c>
      <c r="L2" t="n">
        <v>1.33</v>
      </c>
    </row>
    <row r="3">
      <c r="A3" t="inlineStr">
        <is>
          <t>arcane</t>
        </is>
      </c>
      <c r="B3" t="inlineStr">
        <is>
          <t>Scalding Tower</t>
        </is>
      </c>
      <c r="C3" t="n">
        <v>35</v>
      </c>
      <c r="D3" t="inlineStr">
        <is>
          <t>Scald</t>
        </is>
      </c>
      <c r="E3" t="n">
        <v>110</v>
      </c>
      <c r="F3" t="n">
        <v>1</v>
      </c>
      <c r="G3" t="n">
        <v>0.6</v>
      </c>
      <c r="H3" t="n">
        <v>5</v>
      </c>
      <c r="I3" t="n">
        <v>2.15</v>
      </c>
      <c r="J3" t="inlineStr">
        <is>
          <t>mana</t>
        </is>
      </c>
      <c r="K3" t="n">
        <v>47.3</v>
      </c>
      <c r="L3" t="n">
        <v>1.35</v>
      </c>
    </row>
    <row r="4">
      <c r="A4" t="inlineStr">
        <is>
          <t>arcane</t>
        </is>
      </c>
      <c r="B4" t="inlineStr">
        <is>
          <t>Aspect of Lightning</t>
        </is>
      </c>
      <c r="C4" t="n">
        <v>15</v>
      </c>
      <c r="D4" t="inlineStr">
        <is>
          <t>Ball Lightning</t>
        </is>
      </c>
      <c r="E4" t="n">
        <v>162</v>
      </c>
      <c r="F4" t="n">
        <v>6</v>
      </c>
      <c r="G4" t="n">
        <v>7</v>
      </c>
      <c r="H4" t="n">
        <v>50</v>
      </c>
      <c r="I4" t="n">
        <v>2.5</v>
      </c>
      <c r="J4" t="inlineStr">
        <is>
          <t>mana</t>
        </is>
      </c>
      <c r="K4" t="n">
        <v>48.6</v>
      </c>
      <c r="L4" t="n">
        <v>3.24</v>
      </c>
    </row>
    <row r="5">
      <c r="A5" t="inlineStr">
        <is>
          <t>arcane</t>
        </is>
      </c>
      <c r="B5" t="inlineStr">
        <is>
          <t>Chilly Bit Striker</t>
        </is>
      </c>
      <c r="C5" t="n">
        <v>230</v>
      </c>
      <c r="D5" t="inlineStr">
        <is>
          <t>Chilly Bits Grade Peorth</t>
        </is>
      </c>
      <c r="E5" t="n">
        <v>800</v>
      </c>
      <c r="F5" t="n">
        <v>1</v>
      </c>
      <c r="G5" t="n">
        <v>2.5</v>
      </c>
      <c r="H5" t="n">
        <v>95</v>
      </c>
      <c r="I5" t="n">
        <v>6.89</v>
      </c>
      <c r="J5" t="inlineStr">
        <is>
          <t>mana</t>
        </is>
      </c>
      <c r="K5" t="n">
        <v>58</v>
      </c>
      <c r="L5" t="n">
        <v>0.25</v>
      </c>
    </row>
    <row r="6">
      <c r="A6" t="inlineStr">
        <is>
          <t>arcane</t>
        </is>
      </c>
      <c r="B6" t="inlineStr">
        <is>
          <t>Blood Wraith</t>
        </is>
      </c>
      <c r="C6" t="n">
        <v>270</v>
      </c>
      <c r="D6" t="inlineStr">
        <is>
          <t>Super Shock</t>
        </is>
      </c>
      <c r="E6" t="n">
        <v>18000</v>
      </c>
      <c r="F6" t="n">
        <v>1</v>
      </c>
      <c r="G6" t="n">
        <v>5</v>
      </c>
      <c r="H6" t="n">
        <v>105</v>
      </c>
      <c r="I6" t="n">
        <v>5</v>
      </c>
      <c r="J6" t="inlineStr">
        <is>
          <t>mana</t>
        </is>
      </c>
      <c r="K6" t="n">
        <v>857.1</v>
      </c>
      <c r="L6" t="n">
        <v>3.17</v>
      </c>
    </row>
    <row r="7">
      <c r="A7" t="inlineStr">
        <is>
          <t>arcane</t>
        </is>
      </c>
      <c r="B7" t="inlineStr">
        <is>
          <t>Tsukikaze Warrior</t>
        </is>
      </c>
      <c r="C7" t="n">
        <v>550</v>
      </c>
      <c r="D7" t="inlineStr">
        <is>
          <t>Tsukikaze</t>
        </is>
      </c>
      <c r="E7" t="n">
        <v>3700</v>
      </c>
      <c r="F7" t="n">
        <v>11</v>
      </c>
      <c r="G7" t="n">
        <v>6</v>
      </c>
      <c r="H7" t="n">
        <v>225</v>
      </c>
      <c r="I7" t="n">
        <v>7.5</v>
      </c>
      <c r="J7" t="inlineStr">
        <is>
          <t>mana</t>
        </is>
      </c>
      <c r="K7" t="n">
        <v>1356.7</v>
      </c>
      <c r="L7" t="n">
        <v>2.47</v>
      </c>
    </row>
    <row r="8">
      <c r="A8" t="inlineStr">
        <is>
          <t>scarlet_knight</t>
        </is>
      </c>
      <c r="B8" t="inlineStr">
        <is>
          <t>Foxfire Laser</t>
        </is>
      </c>
      <c r="C8" t="n">
        <v>235</v>
      </c>
      <c r="D8" t="inlineStr">
        <is>
          <t>Foxfire Laser</t>
        </is>
      </c>
      <c r="E8" t="n">
        <v>290</v>
      </c>
      <c r="F8" t="n">
        <v>1</v>
      </c>
      <c r="G8" t="n">
        <v>0.7</v>
      </c>
      <c r="H8" t="n">
        <v>2</v>
      </c>
      <c r="I8" t="n">
        <v>1.5</v>
      </c>
      <c r="J8" t="inlineStr">
        <is>
          <t>mana</t>
        </is>
      </c>
      <c r="K8" t="n">
        <v>217.5</v>
      </c>
      <c r="L8" t="n">
        <v>0.93</v>
      </c>
    </row>
    <row r="9">
      <c r="A9" t="inlineStr">
        <is>
          <t>scarlet_knight</t>
        </is>
      </c>
      <c r="B9" t="inlineStr">
        <is>
          <t>Kazaana</t>
        </is>
      </c>
      <c r="C9" t="n">
        <v>280</v>
      </c>
      <c r="D9" t="inlineStr">
        <is>
          <t>Fury of the Gods</t>
        </is>
      </c>
      <c r="E9" t="n">
        <v>580</v>
      </c>
      <c r="F9" t="n">
        <v>1</v>
      </c>
      <c r="G9" t="n">
        <v>20</v>
      </c>
      <c r="J9" t="inlineStr">
        <is>
          <t>cooldown</t>
        </is>
      </c>
      <c r="K9" t="n">
        <v>29</v>
      </c>
      <c r="L9" t="n">
        <v>0.1</v>
      </c>
    </row>
    <row r="10">
      <c r="A10" t="inlineStr">
        <is>
          <t>tempest</t>
        </is>
      </c>
      <c r="B10" t="inlineStr">
        <is>
          <t>Havocwing</t>
        </is>
      </c>
      <c r="C10" t="n">
        <v>230</v>
      </c>
      <c r="D10" t="inlineStr">
        <is>
          <t>Thresh Arrow</t>
        </is>
      </c>
      <c r="E10" t="n">
        <v>475</v>
      </c>
      <c r="F10" t="n">
        <v>1</v>
      </c>
      <c r="G10" t="n">
        <v>0.9</v>
      </c>
      <c r="H10" t="n">
        <v>3</v>
      </c>
      <c r="I10" t="n">
        <v>2</v>
      </c>
      <c r="J10" t="inlineStr">
        <is>
          <t>mana</t>
        </is>
      </c>
      <c r="K10" t="n">
        <v>316.7</v>
      </c>
      <c r="L10" t="n">
        <v>1.38</v>
      </c>
    </row>
  </sheetData>
  <autoFilter ref="A1:L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14" customWidth="1" min="3" max="3"/>
    <col width="9" customWidth="1" min="4" max="4"/>
    <col width="18" customWidth="1" min="5" max="5"/>
    <col width="23" customWidth="1" min="6" max="6"/>
    <col width="9" customWidth="1" min="7" max="7"/>
    <col width="14" customWidth="1" min="8" max="8"/>
    <col width="48" customWidth="1" min="9" max="9"/>
  </cols>
  <sheetData>
    <row r="1">
      <c r="A1" s="1" t="inlineStr">
        <is>
          <t>mode</t>
        </is>
      </c>
      <c r="B1" s="1" t="inlineStr">
        <is>
          <t>dialog_label</t>
        </is>
      </c>
      <c r="C1" s="1" t="inlineStr">
        <is>
          <t>game_type_id</t>
        </is>
      </c>
      <c r="D1" s="1" t="inlineStr">
        <is>
          <t>lives</t>
        </is>
      </c>
      <c r="E1" s="1" t="inlineStr">
        <is>
          <t>score_multiplier</t>
        </is>
      </c>
      <c r="F1" s="1" t="inlineStr">
        <is>
          <t>lost_penalty_modifier</t>
        </is>
      </c>
      <c r="G1" s="1" t="inlineStr">
        <is>
          <t>levels</t>
        </is>
      </c>
      <c r="H1" s="1" t="inlineStr">
        <is>
          <t>minigames</t>
        </is>
      </c>
      <c r="I1" s="1" t="inlineStr">
        <is>
          <t>notes</t>
        </is>
      </c>
    </row>
    <row r="2">
      <c r="A2" t="inlineStr">
        <is>
          <t>classic</t>
        </is>
      </c>
      <c r="B2" t="inlineStr">
        <is>
          <t>Classic (Normal)</t>
        </is>
      </c>
      <c r="C2" t="n">
        <v>0</v>
      </c>
      <c r="D2" t="n">
        <v>30</v>
      </c>
      <c r="E2" t="n">
        <v>1</v>
      </c>
      <c r="F2" t="n">
        <v>0</v>
      </c>
      <c r="G2" t="inlineStr">
        <is>
          <t>default</t>
        </is>
      </c>
      <c r="H2" t="inlineStr">
        <is>
          <t>yes</t>
        </is>
      </c>
      <c r="I2" t="inlineStr">
        <is>
          <t>baseline; LostPenaltyModifier 0 means a leak costs lives only, no score penalty</t>
        </is>
      </c>
    </row>
    <row r="3">
      <c r="A3" t="inlineStr">
        <is>
          <t>impossible</t>
        </is>
      </c>
      <c r="B3" t="inlineStr">
        <is>
          <t>IMPOSSIBLE (Hard)</t>
        </is>
      </c>
      <c r="C3" t="n">
        <v>1</v>
      </c>
      <c r="D3" t="n">
        <v>30</v>
      </c>
      <c r="E3" t="n">
        <v>1.2</v>
      </c>
      <c r="F3" t="n">
        <v>2</v>
      </c>
      <c r="G3" t="inlineStr">
        <is>
          <t>default</t>
        </is>
      </c>
      <c r="H3" t="inlineStr">
        <is>
          <t>yes (harder)</t>
        </is>
      </c>
      <c r="I3" t="inlineStr">
        <is>
          <t>sets udg_HardMode; runs a separate mob manifest (Initialize_Impossible_Mobs) rather than an HP multiplier; 25% tax levied on all give-gold</t>
        </is>
      </c>
    </row>
    <row r="4">
      <c r="A4" t="inlineStr">
        <is>
          <t>turbo</t>
        </is>
      </c>
      <c r="B4" t="inlineStr">
        <is>
          <t>Turbo (No Mini-Games)</t>
        </is>
      </c>
      <c r="C4" t="n">
        <v>2</v>
      </c>
      <c r="D4" t="n">
        <v>50</v>
      </c>
      <c r="E4" t="n">
        <v>1.622</v>
      </c>
      <c r="F4" t="n">
        <v>1</v>
      </c>
      <c r="G4" t="n">
        <v>42</v>
      </c>
      <c r="H4" t="inlineStr">
        <is>
          <t>no</t>
        </is>
      </c>
      <c r="I4" t="inlineStr">
        <is>
          <t>sets udg_InsaneMode (displayed as Turbo); 'no mini games, just more creeps'; more lives and a longer arc, with the minigame income faucet removed</t>
        </is>
      </c>
    </row>
    <row r="5">
      <c r="A5" t="inlineStr">
        <is>
          <t>minigame</t>
        </is>
      </c>
      <c r="B5" t="inlineStr">
        <is>
          <t>Mini-Game (Free Play)</t>
        </is>
      </c>
      <c r="C5" t="n">
        <v>3</v>
      </c>
      <c r="D5" t="inlineStr">
        <is>
          <t>n/a</t>
        </is>
      </c>
      <c r="E5" t="inlineStr">
        <is>
          <t>n/a</t>
        </is>
      </c>
      <c r="F5" t="inlineStr">
        <is>
          <t>n/a</t>
        </is>
      </c>
      <c r="G5" t="inlineStr">
        <is>
          <t>n/a</t>
        </is>
      </c>
      <c r="H5" t="inlineStr">
        <is>
          <t>only</t>
        </is>
      </c>
      <c r="I5" t="inlineStr">
        <is>
          <t>minigames only; carries its own Normal/Hard toggle via MiniGame Mode Difficulty Select</t>
        </is>
      </c>
    </row>
  </sheetData>
  <autoFilter ref="A1:I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1" customWidth="1" min="3" max="3"/>
    <col width="14" customWidth="1" min="4" max="4"/>
    <col width="25" customWidth="1" min="5" max="5"/>
    <col width="15" customWidth="1" min="6" max="6"/>
    <col width="17" customWidth="1" min="7" max="7"/>
    <col width="29" customWidth="1" min="8" max="8"/>
    <col width="10" customWidth="1" min="9" max="9"/>
    <col width="16" customWidth="1" min="10" max="10"/>
  </cols>
  <sheetData>
    <row r="1">
      <c r="A1" s="1" t="inlineStr">
        <is>
          <t>hero</t>
        </is>
      </c>
      <c r="B1" s="1" t="inlineStr">
        <is>
          <t>towers</t>
        </is>
      </c>
      <c r="C1" s="1" t="inlineStr">
        <is>
          <t>median_dps_per_gold</t>
        </is>
      </c>
      <c r="D1" s="1" t="inlineStr">
        <is>
          <t>median_range</t>
        </is>
      </c>
      <c r="E1" s="1" t="inlineStr">
        <is>
          <t>median_coverage_adj_eff</t>
        </is>
      </c>
      <c r="F1" s="1" t="inlineStr">
        <is>
          <t>best_tower</t>
        </is>
      </c>
      <c r="G1" s="1" t="inlineStr">
        <is>
          <t>best_tower_cost</t>
        </is>
      </c>
      <c r="H1" s="1" t="inlineStr">
        <is>
          <t>best_tower_coverage_adj_eff</t>
        </is>
      </c>
      <c r="I1" s="1" t="inlineStr">
        <is>
          <t>peak_dps</t>
        </is>
      </c>
      <c r="J1" s="1" t="inlineStr">
        <is>
          <t>hero_abilities</t>
        </is>
      </c>
    </row>
    <row r="2">
      <c r="A2" t="inlineStr">
        <is>
          <t>scarlet_knight</t>
        </is>
      </c>
      <c r="B2" t="n">
        <v>18</v>
      </c>
      <c r="C2" t="n">
        <v>3.14</v>
      </c>
      <c r="D2" t="n">
        <v>1300</v>
      </c>
      <c r="E2" t="n">
        <v>9.31</v>
      </c>
      <c r="F2" t="inlineStr">
        <is>
          <t>Glacial Spike</t>
        </is>
      </c>
      <c r="G2" t="n">
        <v>935</v>
      </c>
      <c r="H2" t="n">
        <v>45.85</v>
      </c>
      <c r="I2" t="n">
        <v>13333</v>
      </c>
      <c r="J2" t="n">
        <v>5</v>
      </c>
    </row>
    <row r="3">
      <c r="A3" t="inlineStr">
        <is>
          <t>royal_family</t>
        </is>
      </c>
      <c r="B3" t="n">
        <v>20</v>
      </c>
      <c r="C3" t="n">
        <v>5.87</v>
      </c>
      <c r="D3" t="n">
        <v>700</v>
      </c>
      <c r="E3" t="n">
        <v>6.52</v>
      </c>
      <c r="F3" t="inlineStr">
        <is>
          <t>Martyr</t>
        </is>
      </c>
      <c r="G3" t="n">
        <v>260</v>
      </c>
      <c r="H3" t="n">
        <v>41.27</v>
      </c>
      <c r="I3" t="n">
        <v>6963</v>
      </c>
      <c r="J3" t="n">
        <v>5</v>
      </c>
    </row>
    <row r="4">
      <c r="A4" t="inlineStr">
        <is>
          <t>tempest</t>
        </is>
      </c>
      <c r="B4" t="n">
        <v>18</v>
      </c>
      <c r="C4" t="n">
        <v>4.12</v>
      </c>
      <c r="D4" t="n">
        <v>850</v>
      </c>
      <c r="E4" t="n">
        <v>5.84</v>
      </c>
      <c r="F4" t="inlineStr">
        <is>
          <t>Jenovaroth</t>
        </is>
      </c>
      <c r="G4" t="n">
        <v>800</v>
      </c>
      <c r="H4" t="n">
        <v>101.08</v>
      </c>
      <c r="I4" t="n">
        <v>21686</v>
      </c>
      <c r="J4" t="n">
        <v>5</v>
      </c>
    </row>
    <row r="5">
      <c r="A5" t="inlineStr">
        <is>
          <t>ranger</t>
        </is>
      </c>
      <c r="B5" t="n">
        <v>19</v>
      </c>
      <c r="C5" t="n">
        <v>5.11</v>
      </c>
      <c r="D5" t="n">
        <v>800</v>
      </c>
      <c r="E5" t="n">
        <v>5.82</v>
      </c>
      <c r="F5" t="inlineStr">
        <is>
          <t>Noir Heart</t>
        </is>
      </c>
      <c r="G5" t="n">
        <v>415</v>
      </c>
      <c r="H5" t="n">
        <v>68.42</v>
      </c>
      <c r="I5" t="n">
        <v>14924</v>
      </c>
      <c r="J5" t="n">
        <v>5</v>
      </c>
    </row>
    <row r="6">
      <c r="A6" t="inlineStr">
        <is>
          <t>specialist</t>
        </is>
      </c>
      <c r="B6" t="n">
        <v>19</v>
      </c>
      <c r="C6" t="n">
        <v>4.41</v>
      </c>
      <c r="D6" t="n">
        <v>800</v>
      </c>
      <c r="E6" t="n">
        <v>5.09</v>
      </c>
      <c r="F6" t="inlineStr">
        <is>
          <t>Apocalypse</t>
        </is>
      </c>
      <c r="G6" t="n">
        <v>800</v>
      </c>
      <c r="H6" t="n">
        <v>28.28</v>
      </c>
      <c r="I6" t="n">
        <v>7036</v>
      </c>
      <c r="J6" t="n">
        <v>5</v>
      </c>
    </row>
    <row r="7">
      <c r="A7" t="inlineStr">
        <is>
          <t>arcane</t>
        </is>
      </c>
      <c r="B7" t="n">
        <v>5</v>
      </c>
      <c r="C7" t="n">
        <v>2.47</v>
      </c>
      <c r="D7" t="n">
        <v>725</v>
      </c>
      <c r="E7" t="n">
        <v>3.24</v>
      </c>
      <c r="F7" t="inlineStr">
        <is>
          <t>Fire Hydra</t>
        </is>
      </c>
      <c r="G7" t="n">
        <v>255</v>
      </c>
      <c r="H7" t="n">
        <v>6.41</v>
      </c>
      <c r="I7" t="n">
        <v>1357</v>
      </c>
      <c r="J7" t="n">
        <v>5</v>
      </c>
    </row>
    <row r="8">
      <c r="A8" t="inlineStr">
        <is>
          <t>military</t>
        </is>
      </c>
      <c r="B8" t="n">
        <v>19</v>
      </c>
      <c r="C8" t="n">
        <v>9.59</v>
      </c>
      <c r="D8" t="n">
        <v>125</v>
      </c>
      <c r="E8" t="n">
        <v>0.59</v>
      </c>
      <c r="F8" t="inlineStr">
        <is>
          <t>Tamed Game</t>
        </is>
      </c>
      <c r="G8" t="n">
        <v>205</v>
      </c>
      <c r="H8" t="n">
        <v>20.54</v>
      </c>
      <c r="I8" t="n">
        <v>8932</v>
      </c>
      <c r="J8" t="n">
        <v>5</v>
      </c>
    </row>
  </sheetData>
  <autoFilter ref="A1:J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9" customWidth="1" min="3" max="3"/>
    <col width="9" customWidth="1" min="4" max="4"/>
    <col width="12" customWidth="1" min="5" max="5"/>
    <col width="39" customWidth="1" min="6" max="6"/>
    <col width="48" customWidth="1" min="7" max="7"/>
    <col width="18" customWidth="1" min="8" max="8"/>
  </cols>
  <sheetData>
    <row r="1">
      <c r="A1" s="1" t="inlineStr">
        <is>
          <t>hero</t>
        </is>
      </c>
      <c r="B1" s="1" t="inlineStr">
        <is>
          <t>hero_name</t>
        </is>
      </c>
      <c r="C1" s="1" t="inlineStr">
        <is>
          <t>unit_id</t>
        </is>
      </c>
      <c r="D1" s="1" t="inlineStr">
        <is>
          <t>slot</t>
        </is>
      </c>
      <c r="E1" s="1" t="inlineStr">
        <is>
          <t>ability_id</t>
        </is>
      </c>
      <c r="F1" s="1" t="inlineStr">
        <is>
          <t>ability</t>
        </is>
      </c>
      <c r="G1" s="1" t="inlineStr">
        <is>
          <t>description</t>
        </is>
      </c>
      <c r="H1" s="1" t="inlineStr">
        <is>
          <t>buildable_towers</t>
        </is>
      </c>
    </row>
    <row r="2">
      <c r="A2" t="inlineStr">
        <is>
          <t>royal_family</t>
        </is>
      </c>
      <c r="B2" t="inlineStr">
        <is>
          <t>Royal Family</t>
        </is>
      </c>
      <c r="C2" t="inlineStr">
        <is>
          <t>U007</t>
        </is>
      </c>
      <c r="D2" t="n">
        <v>1</v>
      </c>
      <c r="E2" t="inlineStr">
        <is>
          <t>A02D</t>
        </is>
      </c>
      <c r="F2" t="inlineStr">
        <is>
          <t>Wargod's Blessing</t>
        </is>
      </c>
      <c r="G2" t="inlineStr">
        <is>
          <t>Heals nearby towers 150 hitpoints and grants non-spellcasting towers a 40% bonus to damage for 5 seconds.</t>
        </is>
      </c>
      <c r="H2" t="n">
        <v>11</v>
      </c>
    </row>
    <row r="3">
      <c r="A3" t="inlineStr">
        <is>
          <t>royal_family</t>
        </is>
      </c>
      <c r="B3" t="inlineStr">
        <is>
          <t>Royal Family</t>
        </is>
      </c>
      <c r="C3" t="inlineStr">
        <is>
          <t>U007</t>
        </is>
      </c>
      <c r="D3" t="n">
        <v>2</v>
      </c>
      <c r="E3" t="inlineStr">
        <is>
          <t>A03Z</t>
        </is>
      </c>
      <c r="F3" t="inlineStr">
        <is>
          <t>Reduce Charisma</t>
        </is>
      </c>
      <c r="G3" t="inlineStr">
        <is>
          <t>Permanently removes any beneficial aura from the targeted enemy hero, reduces movement speed by 50 and stuns for 2 seconds.|n|nDeals 350 damage.</t>
        </is>
      </c>
      <c r="H3" t="n">
        <v>11</v>
      </c>
    </row>
    <row r="4">
      <c r="A4" t="inlineStr">
        <is>
          <t>royal_family</t>
        </is>
      </c>
      <c r="B4" t="inlineStr">
        <is>
          <t>Royal Family</t>
        </is>
      </c>
      <c r="C4" t="inlineStr">
        <is>
          <t>U007</t>
        </is>
      </c>
      <c r="D4" t="n">
        <v>3</v>
      </c>
      <c r="E4" t="inlineStr">
        <is>
          <t>A036</t>
        </is>
      </c>
      <c r="F4" t="inlineStr">
        <is>
          <t>Extinction</t>
        </is>
      </c>
      <c r="G4" t="inlineStr">
        <is>
          <t>Calls forth a cone of lightning at a target enemy unit, hitting up to 2 enemy units for 1000 damage.</t>
        </is>
      </c>
      <c r="H4" t="n">
        <v>11</v>
      </c>
    </row>
    <row r="5">
      <c r="A5" t="inlineStr">
        <is>
          <t>royal_family</t>
        </is>
      </c>
      <c r="B5" t="inlineStr">
        <is>
          <t>Royal Family</t>
        </is>
      </c>
      <c r="C5" t="inlineStr">
        <is>
          <t>U007</t>
        </is>
      </c>
      <c r="D5" t="n">
        <v>4</v>
      </c>
      <c r="E5" t="inlineStr">
        <is>
          <t>ANso</t>
        </is>
      </c>
      <c r="F5" t="inlineStr">
        <is>
          <t>Raspweave - [Level 4]</t>
        </is>
      </c>
      <c r="G5" t="inlineStr">
        <is>
          <t>Wreaths an enemy hero in magical flames which cause damage 1250 damage every second, prevent the casting of spells, and reduce attack damage by 20%.|n|nLasts 9 seconds.</t>
        </is>
      </c>
      <c r="H5" t="n">
        <v>11</v>
      </c>
    </row>
    <row r="6">
      <c r="A6" t="inlineStr">
        <is>
          <t>royal_family</t>
        </is>
      </c>
      <c r="B6" t="inlineStr">
        <is>
          <t>Royal Family</t>
        </is>
      </c>
      <c r="C6" t="inlineStr">
        <is>
          <t>U007</t>
        </is>
      </c>
      <c r="D6" t="n">
        <v>5</v>
      </c>
      <c r="E6" t="inlineStr">
        <is>
          <t>AOae</t>
        </is>
      </c>
      <c r="F6" t="inlineStr">
        <is>
          <t>Royal Aura</t>
        </is>
      </c>
      <c r="G6" t="inlineStr">
        <is>
          <t>Decreases the movement speed and attack rate of enemy heroes by 8%.</t>
        </is>
      </c>
      <c r="H6" t="n">
        <v>11</v>
      </c>
    </row>
    <row r="7">
      <c r="A7" t="inlineStr">
        <is>
          <t>scarlet_knight</t>
        </is>
      </c>
      <c r="B7" t="inlineStr">
        <is>
          <t>Scarlet Knight</t>
        </is>
      </c>
      <c r="C7" t="inlineStr">
        <is>
          <t>U008</t>
        </is>
      </c>
      <c r="D7" t="n">
        <v>1</v>
      </c>
      <c r="E7" t="inlineStr">
        <is>
          <t>AUfu</t>
        </is>
      </c>
      <c r="F7" t="inlineStr">
        <is>
          <t>Scarlet Fortification</t>
        </is>
      </c>
      <c r="G7" t="inlineStr">
        <is>
          <t>Surrounds target friendly building in a wispy aura that boosts defensive armor by 1 and colds enemy melee attackers.|n|nLasts 45 seconds.</t>
        </is>
      </c>
      <c r="H7" t="n">
        <v>11</v>
      </c>
    </row>
    <row r="8">
      <c r="A8" t="inlineStr">
        <is>
          <t>scarlet_knight</t>
        </is>
      </c>
      <c r="B8" t="inlineStr">
        <is>
          <t>Scarlet Knight</t>
        </is>
      </c>
      <c r="C8" t="inlineStr">
        <is>
          <t>U008</t>
        </is>
      </c>
      <c r="D8" t="n">
        <v>2</v>
      </c>
      <c r="E8" t="inlineStr">
        <is>
          <t>A039</t>
        </is>
      </c>
      <c r="F8" t="inlineStr">
        <is>
          <t>Scarlet Curse</t>
        </is>
      </c>
      <c r="G8" t="inlineStr">
        <is>
          <t>Reduces the movement, attack, and damage capabilities by 32% of target enemy unit for 5 seconds.</t>
        </is>
      </c>
      <c r="H8" t="n">
        <v>11</v>
      </c>
    </row>
    <row r="9">
      <c r="A9" t="inlineStr">
        <is>
          <t>scarlet_knight</t>
        </is>
      </c>
      <c r="B9" t="inlineStr">
        <is>
          <t>Scarlet Knight</t>
        </is>
      </c>
      <c r="C9" t="inlineStr">
        <is>
          <t>U008</t>
        </is>
      </c>
      <c r="D9" t="n">
        <v>3</v>
      </c>
      <c r="E9" t="inlineStr">
        <is>
          <t>AOw2</t>
        </is>
      </c>
      <c r="F9" t="inlineStr">
        <is>
          <t>Scarlet Slam</t>
        </is>
      </c>
      <c r="G9" t="inlineStr">
        <is>
          <t>Channel energy below, stunning nearby ground enemies underneath for 3.5 seconds.</t>
        </is>
      </c>
      <c r="H9" t="n">
        <v>11</v>
      </c>
    </row>
    <row r="10">
      <c r="A10" t="inlineStr">
        <is>
          <t>scarlet_knight</t>
        </is>
      </c>
      <c r="B10" t="inlineStr">
        <is>
          <t>Scarlet Knight</t>
        </is>
      </c>
      <c r="C10" t="inlineStr">
        <is>
          <t>U008</t>
        </is>
      </c>
      <c r="D10" t="n">
        <v>4</v>
      </c>
      <c r="E10" t="inlineStr">
        <is>
          <t>A040</t>
        </is>
      </c>
      <c r="F10" t="inlineStr">
        <is>
          <t>Reverse Time</t>
        </is>
      </c>
      <c r="G10" t="inlineStr">
        <is>
          <t>After 3 seconds, enemies in a 400 area of effect from the point where this spell was originally cast will be sent randomly back to either of their spawning locations with restored HP and status.|n|nCooldown is 210 seconds.</t>
        </is>
      </c>
      <c r="H10" t="n">
        <v>11</v>
      </c>
    </row>
    <row r="11">
      <c r="A11" t="inlineStr">
        <is>
          <t>scarlet_knight</t>
        </is>
      </c>
      <c r="B11" t="inlineStr">
        <is>
          <t>Scarlet Knight</t>
        </is>
      </c>
      <c r="C11" t="inlineStr">
        <is>
          <t>U008</t>
        </is>
      </c>
      <c r="D11" t="n">
        <v>5</v>
      </c>
      <c r="E11" t="inlineStr">
        <is>
          <t>AIad</t>
        </is>
      </c>
      <c r="F11" t="inlineStr">
        <is>
          <t>Devotion Aura</t>
        </is>
      </c>
      <c r="G11" t="inlineStr">
        <is>
          <t>Bestows an additional 5 armor to nearby friendly towers.</t>
        </is>
      </c>
      <c r="H11" t="n">
        <v>11</v>
      </c>
    </row>
    <row r="12">
      <c r="A12" t="inlineStr">
        <is>
          <t>arcane</t>
        </is>
      </c>
      <c r="B12" t="inlineStr">
        <is>
          <t>Arcane</t>
        </is>
      </c>
      <c r="C12" t="inlineStr">
        <is>
          <t>U009</t>
        </is>
      </c>
      <c r="D12" t="n">
        <v>1</v>
      </c>
      <c r="E12" t="inlineStr">
        <is>
          <t>AEsb</t>
        </is>
      </c>
      <c r="F12" t="inlineStr">
        <is>
          <t>Shatter</t>
        </is>
      </c>
      <c r="G12" t="inlineStr">
        <is>
          <t>Picks frosted non-boss enemies in a 500 radius and shatters them, killing them in the process. |nCooldown = 140 seconds. |n|nNumber of targets shattered equal to number of controlled Cold Reagents + 2.</t>
        </is>
      </c>
      <c r="H12" t="n">
        <v>11</v>
      </c>
    </row>
    <row r="13">
      <c r="A13" t="inlineStr">
        <is>
          <t>arcane</t>
        </is>
      </c>
      <c r="B13" t="inlineStr">
        <is>
          <t>Arcane</t>
        </is>
      </c>
      <c r="C13" t="inlineStr">
        <is>
          <t>U009</t>
        </is>
      </c>
      <c r="D13" t="n">
        <v>2</v>
      </c>
      <c r="E13" t="inlineStr">
        <is>
          <t>Awrh</t>
        </is>
      </c>
      <c r="F13" t="inlineStr">
        <is>
          <t>Flame Crack</t>
        </is>
      </c>
      <c r="G13" t="inlineStr">
        <is>
          <t>Stuns nearby ground enemies for 2 seconds and dazes them for 5 seconds. |n|nFlame Crack also deals 200 spell damage times the number of controlled Fire Reagents.</t>
        </is>
      </c>
      <c r="H13" t="n">
        <v>11</v>
      </c>
    </row>
    <row r="14">
      <c r="A14" t="inlineStr">
        <is>
          <t>arcane</t>
        </is>
      </c>
      <c r="B14" t="inlineStr">
        <is>
          <t>Arcane</t>
        </is>
      </c>
      <c r="C14" t="inlineStr">
        <is>
          <t>U009</t>
        </is>
      </c>
      <c r="D14" t="n">
        <v>3</v>
      </c>
      <c r="E14" t="inlineStr">
        <is>
          <t>A07X</t>
        </is>
      </c>
      <c r="F14" t="inlineStr">
        <is>
          <t>25,000 Volts</t>
        </is>
      </c>
      <c r="G14" t="inlineStr">
        <is>
          <t>Hurls a bolt of electricity at target for 1000 damage and jumps to strike 12 additional targets. |n|nLightning Reagents inheirit this spell and cast upon a random nearby target.</t>
        </is>
      </c>
      <c r="H14" t="n">
        <v>11</v>
      </c>
    </row>
    <row r="15">
      <c r="A15" t="inlineStr">
        <is>
          <t>arcane</t>
        </is>
      </c>
      <c r="B15" t="inlineStr">
        <is>
          <t>Arcane</t>
        </is>
      </c>
      <c r="C15" t="inlineStr">
        <is>
          <t>U009</t>
        </is>
      </c>
      <c r="D15" t="n">
        <v>4</v>
      </c>
      <c r="E15" t="inlineStr">
        <is>
          <t>AHab</t>
        </is>
      </c>
      <c r="F15" t="inlineStr">
        <is>
          <t>Brilliance Aura (Passive) - [Level 1]</t>
        </is>
      </c>
      <c r="G15" t="inlineStr">
        <is>
          <t>Brilliance Aura (Passive) - [Level 1]</t>
        </is>
      </c>
      <c r="H15" t="n">
        <v>11</v>
      </c>
    </row>
    <row r="16">
      <c r="A16" t="inlineStr">
        <is>
          <t>arcane</t>
        </is>
      </c>
      <c r="B16" t="inlineStr">
        <is>
          <t>Arcane</t>
        </is>
      </c>
      <c r="C16" t="inlineStr">
        <is>
          <t>U009</t>
        </is>
      </c>
      <c r="D16" t="n">
        <v>5</v>
      </c>
      <c r="E16" t="inlineStr">
        <is>
          <t>Arsg</t>
        </is>
      </c>
      <c r="F16" t="inlineStr">
        <is>
          <t>Mana Bomb</t>
        </is>
      </c>
      <c r="G16" t="inlineStr">
        <is>
          <t>Conjures a mana bomb that explodes after 5 seconds to deal huge elemental damage. While the mana bomb drops, there is 1 area colding effect.</t>
        </is>
      </c>
      <c r="H16" t="n">
        <v>11</v>
      </c>
    </row>
    <row r="17">
      <c r="A17" t="inlineStr">
        <is>
          <t>tempest</t>
        </is>
      </c>
      <c r="B17" t="inlineStr">
        <is>
          <t>Tempest</t>
        </is>
      </c>
      <c r="C17" t="inlineStr">
        <is>
          <t>U00A</t>
        </is>
      </c>
      <c r="D17" t="n">
        <v>1</v>
      </c>
      <c r="E17" t="inlineStr">
        <is>
          <t>A01O</t>
        </is>
      </c>
      <c r="F17" t="inlineStr">
        <is>
          <t>Sky Devil</t>
        </is>
      </c>
      <c r="G17" t="inlineStr">
        <is>
          <t>Binds a target enemy unit so it cannot move or attack and takes 20 damage per second. |n|nLasts 15 seconds.</t>
        </is>
      </c>
      <c r="H17" t="n">
        <v>11</v>
      </c>
    </row>
    <row r="18">
      <c r="A18" t="inlineStr">
        <is>
          <t>tempest</t>
        </is>
      </c>
      <c r="B18" t="inlineStr">
        <is>
          <t>Tempest</t>
        </is>
      </c>
      <c r="C18" t="inlineStr">
        <is>
          <t>U00A</t>
        </is>
      </c>
      <c r="D18" t="n">
        <v>2</v>
      </c>
      <c r="E18" t="inlineStr">
        <is>
          <t>A03J</t>
        </is>
      </c>
      <c r="F18" t="inlineStr">
        <is>
          <t>Machine Buster</t>
        </is>
      </c>
      <c r="G18" t="inlineStr">
        <is>
          <t>Completely destroys 1 non-hero mechanical enemy and awards you double bounty. |n|nCooldown = 60 seconds.</t>
        </is>
      </c>
      <c r="H18" t="n">
        <v>11</v>
      </c>
    </row>
    <row r="19">
      <c r="A19" t="inlineStr">
        <is>
          <t>tempest</t>
        </is>
      </c>
      <c r="B19" t="inlineStr">
        <is>
          <t>Tempest</t>
        </is>
      </c>
      <c r="C19" t="inlineStr">
        <is>
          <t>U00A</t>
        </is>
      </c>
      <c r="D19" t="n">
        <v>3</v>
      </c>
      <c r="E19" t="inlineStr">
        <is>
          <t>ANsi</t>
        </is>
      </c>
      <c r="F19" t="inlineStr">
        <is>
          <t>Cyclonius</t>
        </is>
      </c>
      <c r="G19" t="inlineStr">
        <is>
          <t>Tosses a group of enemy ground units into the air, rendering them unable to move, attack or cast spells, and stopping others from attacking or casting on it. |nLasts 10 seconds.</t>
        </is>
      </c>
      <c r="H19" t="n">
        <v>11</v>
      </c>
    </row>
    <row r="20">
      <c r="A20" t="inlineStr">
        <is>
          <t>tempest</t>
        </is>
      </c>
      <c r="B20" t="inlineStr">
        <is>
          <t>Tempest</t>
        </is>
      </c>
      <c r="C20" t="inlineStr">
        <is>
          <t>U00A</t>
        </is>
      </c>
      <c r="D20" t="n">
        <v>4</v>
      </c>
      <c r="E20" t="inlineStr">
        <is>
          <t>AUdd</t>
        </is>
      </c>
      <c r="F20" t="inlineStr">
        <is>
          <t>Life Ebb</t>
        </is>
      </c>
      <c r="G20" t="inlineStr">
        <is>
          <t>Damages non-hero enemy units in its area of effect by 2% of its base hit points. Lasts 15 seconds. |n|nCooldown = 210 seconds.</t>
        </is>
      </c>
      <c r="H20" t="n">
        <v>11</v>
      </c>
    </row>
    <row r="21">
      <c r="A21" t="inlineStr">
        <is>
          <t>tempest</t>
        </is>
      </c>
      <c r="B21" t="inlineStr">
        <is>
          <t>Tempest</t>
        </is>
      </c>
      <c r="C21" t="inlineStr">
        <is>
          <t>U00A</t>
        </is>
      </c>
      <c r="D21" t="n">
        <v>5</v>
      </c>
      <c r="E21" t="inlineStr">
        <is>
          <t>Apmf</t>
        </is>
      </c>
      <c r="F21" t="inlineStr">
        <is>
          <t>Roast Aura</t>
        </is>
      </c>
      <c r="G21" t="inlineStr">
        <is>
          <t>Burns nearby enemy units for 350 points of damage every 2 seconds.</t>
        </is>
      </c>
      <c r="H21" t="n">
        <v>11</v>
      </c>
    </row>
    <row r="22">
      <c r="A22" t="inlineStr">
        <is>
          <t>specialist</t>
        </is>
      </c>
      <c r="B22" t="inlineStr">
        <is>
          <t>Specialist</t>
        </is>
      </c>
      <c r="C22" t="inlineStr">
        <is>
          <t>U00B</t>
        </is>
      </c>
      <c r="D22" t="n">
        <v>1</v>
      </c>
      <c r="E22" t="inlineStr">
        <is>
          <t>ACcr</t>
        </is>
      </c>
      <c r="F22" t="inlineStr">
        <is>
          <t>Slow</t>
        </is>
      </c>
      <c r="G22" t="inlineStr">
        <is>
          <t>Slows an enemy unit's movement speed and attack rate by 25%. |n|nLasts 20 seconds.</t>
        </is>
      </c>
      <c r="H22" t="n">
        <v>11</v>
      </c>
    </row>
    <row r="23">
      <c r="A23" t="inlineStr">
        <is>
          <t>specialist</t>
        </is>
      </c>
      <c r="B23" t="inlineStr">
        <is>
          <t>Specialist</t>
        </is>
      </c>
      <c r="C23" t="inlineStr">
        <is>
          <t>U00B</t>
        </is>
      </c>
      <c r="D23" t="n">
        <v>2</v>
      </c>
      <c r="E23" t="inlineStr">
        <is>
          <t>AHtb</t>
        </is>
      </c>
      <c r="F23" t="inlineStr">
        <is>
          <t>Cog</t>
        </is>
      </c>
      <c r="G23" t="inlineStr">
        <is>
          <t>Hurls a greased cog at an enemy, dealing 150 damage and stunning it for 4 seconds.</t>
        </is>
      </c>
      <c r="H23" t="n">
        <v>11</v>
      </c>
    </row>
    <row r="24">
      <c r="A24" t="inlineStr">
        <is>
          <t>specialist</t>
        </is>
      </c>
      <c r="B24" t="inlineStr">
        <is>
          <t>Specialist</t>
        </is>
      </c>
      <c r="C24" t="inlineStr">
        <is>
          <t>U00B</t>
        </is>
      </c>
      <c r="D24" t="n">
        <v>3</v>
      </c>
      <c r="E24" t="inlineStr">
        <is>
          <t>A046</t>
        </is>
      </c>
      <c r="F24" t="inlineStr">
        <is>
          <t>Sunshine</t>
        </is>
      </c>
      <c r="G24" t="inlineStr">
        <is>
          <t>Restores 25 hit points to nearby friendly towers.</t>
        </is>
      </c>
      <c r="H24" t="n">
        <v>11</v>
      </c>
    </row>
    <row r="25">
      <c r="A25" t="inlineStr">
        <is>
          <t>specialist</t>
        </is>
      </c>
      <c r="B25" t="inlineStr">
        <is>
          <t>Specialist</t>
        </is>
      </c>
      <c r="C25" t="inlineStr">
        <is>
          <t>U00B</t>
        </is>
      </c>
      <c r="D25" t="n">
        <v>4</v>
      </c>
      <c r="E25" t="inlineStr">
        <is>
          <t>AUfn</t>
        </is>
      </c>
      <c r="F25" t="inlineStr">
        <is>
          <t>Freezing Chemicals</t>
        </is>
      </c>
      <c r="G25" t="inlineStr">
        <is>
          <t>Nukes enemy units with a wave of frost that deals no damage, but colds for a long period of time. |n|nAffects a medium radius.</t>
        </is>
      </c>
      <c r="H25" t="n">
        <v>11</v>
      </c>
    </row>
    <row r="26">
      <c r="A26" t="inlineStr">
        <is>
          <t>specialist</t>
        </is>
      </c>
      <c r="B26" t="inlineStr">
        <is>
          <t>Specialist</t>
        </is>
      </c>
      <c r="C26" t="inlineStr">
        <is>
          <t>U00B</t>
        </is>
      </c>
      <c r="D26" t="n">
        <v>5</v>
      </c>
      <c r="E26" t="inlineStr">
        <is>
          <t>AEah</t>
        </is>
      </c>
      <c r="F26" t="inlineStr">
        <is>
          <t>Thorns Aura (Passive) - [Level 1]</t>
        </is>
      </c>
      <c r="G26" t="inlineStr">
        <is>
          <t>An aura that gives friendly nearby units a damage shield, which deals 120 damage back to melee enemy units.</t>
        </is>
      </c>
      <c r="H26" t="n">
        <v>11</v>
      </c>
    </row>
    <row r="27">
      <c r="A27" t="inlineStr">
        <is>
          <t>military</t>
        </is>
      </c>
      <c r="B27" t="inlineStr">
        <is>
          <t>Military</t>
        </is>
      </c>
      <c r="C27" t="inlineStr">
        <is>
          <t>U00D</t>
        </is>
      </c>
      <c r="D27" t="n">
        <v>1</v>
      </c>
      <c r="E27" t="inlineStr">
        <is>
          <t>A03I</t>
        </is>
      </c>
      <c r="F27" t="inlineStr">
        <is>
          <t>Riot Juice</t>
        </is>
      </c>
      <c r="G27" t="inlineStr">
        <is>
          <t>Increases a target friendly tower's attack rate by 45% for 30 seconds. |n|nDoes not work on towers with MP or basic Peasants.</t>
        </is>
      </c>
      <c r="H27" t="n">
        <v>11</v>
      </c>
    </row>
    <row r="28">
      <c r="A28" t="inlineStr">
        <is>
          <t>military</t>
        </is>
      </c>
      <c r="B28" t="inlineStr">
        <is>
          <t>Military</t>
        </is>
      </c>
      <c r="C28" t="inlineStr">
        <is>
          <t>U00D</t>
        </is>
      </c>
      <c r="D28" t="n">
        <v>2</v>
      </c>
      <c r="E28" t="inlineStr">
        <is>
          <t>ANht</t>
        </is>
      </c>
      <c r="F28" t="inlineStr">
        <is>
          <t>Warcry</t>
        </is>
      </c>
      <c r="G28" t="inlineStr">
        <is>
          <t>The squire lets loose a blood curdling scream that reduces surrounding enemy creeps' armor by 2 and attack power by 10%.</t>
        </is>
      </c>
      <c r="H28" t="n">
        <v>11</v>
      </c>
    </row>
    <row r="29">
      <c r="A29" t="inlineStr">
        <is>
          <t>military</t>
        </is>
      </c>
      <c r="B29" t="inlineStr">
        <is>
          <t>Military</t>
        </is>
      </c>
      <c r="C29" t="inlineStr">
        <is>
          <t>U00D</t>
        </is>
      </c>
      <c r="D29" t="n">
        <v>3</v>
      </c>
      <c r="E29" t="inlineStr">
        <is>
          <t>A02B</t>
        </is>
      </c>
      <c r="F29" t="inlineStr">
        <is>
          <t>Equip Peasant</t>
        </is>
      </c>
      <c r="G29" t="inlineStr">
        <is>
          <t>Completely heals and bestows a "Military Peasant" with 4 bonus damage.</t>
        </is>
      </c>
      <c r="H29" t="n">
        <v>11</v>
      </c>
    </row>
    <row r="30">
      <c r="A30" t="inlineStr">
        <is>
          <t>military</t>
        </is>
      </c>
      <c r="B30" t="inlineStr">
        <is>
          <t>Military</t>
        </is>
      </c>
      <c r="C30" t="inlineStr">
        <is>
          <t>U00D</t>
        </is>
      </c>
      <c r="D30" t="n">
        <v>4</v>
      </c>
      <c r="E30" t="inlineStr">
        <is>
          <t>A03H</t>
        </is>
      </c>
      <c r="F30" t="inlineStr">
        <is>
          <t>Crossbow Trap</t>
        </is>
      </c>
      <c r="G30" t="inlineStr">
        <is>
          <t>Constructs a tiny immobile trap that awaits an enemy unit. When the crossbow trap fires, four crossbow traps appear and fire a powerful spell towards the enemy that deals 800 damage in a line.</t>
        </is>
      </c>
      <c r="H30" t="n">
        <v>11</v>
      </c>
    </row>
    <row r="31">
      <c r="A31" t="inlineStr">
        <is>
          <t>military</t>
        </is>
      </c>
      <c r="B31" t="inlineStr">
        <is>
          <t>Military</t>
        </is>
      </c>
      <c r="C31" t="inlineStr">
        <is>
          <t>U00D</t>
        </is>
      </c>
      <c r="D31" t="n">
        <v>5</v>
      </c>
      <c r="E31" t="inlineStr">
        <is>
          <t>ACac</t>
        </is>
      </c>
      <c r="F31" t="inlineStr">
        <is>
          <t>Command Aura (Passive) - [Level 1]</t>
        </is>
      </c>
      <c r="G31" t="inlineStr">
        <is>
          <t>Grants a 3% damage bonus to nearby friendly towers.|n|nDoes not work on towers with MP or basic Peasants.</t>
        </is>
      </c>
      <c r="H31" t="n">
        <v>11</v>
      </c>
    </row>
    <row r="32">
      <c r="A32" t="inlineStr">
        <is>
          <t>ranger</t>
        </is>
      </c>
      <c r="B32" t="inlineStr">
        <is>
          <t>Ranger</t>
        </is>
      </c>
      <c r="C32" t="inlineStr">
        <is>
          <t>U00E</t>
        </is>
      </c>
      <c r="D32" t="n">
        <v>1</v>
      </c>
      <c r="E32" t="inlineStr">
        <is>
          <t>A03E</t>
        </is>
      </c>
      <c r="F32" t="inlineStr">
        <is>
          <t>Scent of the Prey</t>
        </is>
      </c>
      <c r="G32" t="inlineStr">
        <is>
          <t>Reduces a target enemy unit's armor by 3. |n|nLasts 25 seconds.</t>
        </is>
      </c>
      <c r="H32" t="n">
        <v>11</v>
      </c>
    </row>
    <row r="33">
      <c r="A33" t="inlineStr">
        <is>
          <t>ranger</t>
        </is>
      </c>
      <c r="B33" t="inlineStr">
        <is>
          <t>Ranger</t>
        </is>
      </c>
      <c r="C33" t="inlineStr">
        <is>
          <t>U00E</t>
        </is>
      </c>
      <c r="D33" t="n">
        <v>2</v>
      </c>
      <c r="E33" t="inlineStr">
        <is>
          <t>AEsh</t>
        </is>
      </c>
      <c r="F33" t="inlineStr">
        <is>
          <t>Focus Poison</t>
        </is>
      </c>
      <c r="G33" t="inlineStr">
        <is>
          <t>Focuses nearby towers to attack the targeted organic enemy unit, dealing 70 initial damage, and half damage every second for 5 seconds.</t>
        </is>
      </c>
      <c r="H33" t="n">
        <v>11</v>
      </c>
    </row>
    <row r="34">
      <c r="A34" t="inlineStr">
        <is>
          <t>ranger</t>
        </is>
      </c>
      <c r="B34" t="inlineStr">
        <is>
          <t>Ranger</t>
        </is>
      </c>
      <c r="C34" t="inlineStr">
        <is>
          <t>U00E</t>
        </is>
      </c>
      <c r="D34" t="n">
        <v>3</v>
      </c>
      <c r="E34" t="inlineStr">
        <is>
          <t>A02A</t>
        </is>
      </c>
      <c r="F34" t="inlineStr">
        <is>
          <t>Mind Scrambler</t>
        </is>
      </c>
      <c r="G34" t="inlineStr">
        <is>
          <t>Stuns a target enemy for 2 seconds and maximizes their movement speed. Cooldown = 20 seconds.</t>
        </is>
      </c>
      <c r="H34" t="n">
        <v>11</v>
      </c>
    </row>
    <row r="35">
      <c r="A35" t="inlineStr">
        <is>
          <t>ranger</t>
        </is>
      </c>
      <c r="B35" t="inlineStr">
        <is>
          <t>Ranger</t>
        </is>
      </c>
      <c r="C35" t="inlineStr">
        <is>
          <t>U00E</t>
        </is>
      </c>
      <c r="D35" t="n">
        <v>4</v>
      </c>
      <c r="E35" t="inlineStr">
        <is>
          <t>A03K</t>
        </is>
      </c>
      <c r="F35" t="inlineStr">
        <is>
          <t>Bounty</t>
        </is>
      </c>
      <c r="G35" t="inlineStr">
        <is>
          <t>Increases attack power and speed of a "Ranger - Iron Mistress" by 25% |n|nLasts 25 seconds.</t>
        </is>
      </c>
      <c r="H35" t="n">
        <v>11</v>
      </c>
    </row>
    <row r="36">
      <c r="A36" t="inlineStr">
        <is>
          <t>ranger</t>
        </is>
      </c>
      <c r="B36" t="inlineStr">
        <is>
          <t>Ranger</t>
        </is>
      </c>
      <c r="C36" t="inlineStr">
        <is>
          <t>U00E</t>
        </is>
      </c>
      <c r="D36" t="n">
        <v>5</v>
      </c>
      <c r="E36" t="inlineStr">
        <is>
          <t>AEar</t>
        </is>
      </c>
      <c r="F36" t="inlineStr">
        <is>
          <t>Trueshot Aura (Passive) - [Level 1]</t>
        </is>
      </c>
      <c r="G36" t="inlineStr">
        <is>
          <t>An aura that gives friendly nearby non-casting towers &lt;AEar,DataA1,%&gt;% bonus damage to their ranged attacks.</t>
        </is>
      </c>
      <c r="H36" t="n">
        <v>11</v>
      </c>
    </row>
  </sheetData>
  <autoFilter ref="A1:H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20"/>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9" customWidth="1" min="3" max="3"/>
    <col width="11" customWidth="1" min="4" max="4"/>
    <col width="9" customWidth="1" min="5" max="5"/>
    <col width="20" customWidth="1" min="6" max="6"/>
    <col width="22" customWidth="1" min="7" max="7"/>
    <col width="48" customWidth="1" min="8" max="8"/>
    <col width="31" customWidth="1" min="9" max="9"/>
    <col width="10" customWidth="1" min="10" max="10"/>
    <col width="10" customWidth="1" min="11" max="11"/>
    <col width="11" customWidth="1" min="12" max="12"/>
    <col width="15" customWidth="1" min="13" max="13"/>
    <col width="12" customWidth="1" min="14" max="14"/>
    <col width="11" customWidth="1" min="15" max="15"/>
    <col width="10" customWidth="1" min="16" max="16"/>
    <col width="10" customWidth="1" min="17" max="17"/>
    <col width="10" customWidth="1" min="18" max="18"/>
    <col width="11" customWidth="1" min="19" max="19"/>
    <col width="15" customWidth="1" min="20" max="20"/>
    <col width="12" customWidth="1" min="21" max="21"/>
    <col width="11" customWidth="1" min="22" max="22"/>
    <col width="10" customWidth="1" min="23" max="23"/>
    <col width="31" customWidth="1" min="24" max="24"/>
    <col width="13" customWidth="1" min="25" max="25"/>
    <col width="14" customWidth="1" min="26" max="26"/>
    <col width="9" customWidth="1" min="27" max="27"/>
    <col width="13" customWidth="1" min="28" max="28"/>
    <col width="13" customWidth="1" min="29" max="29"/>
    <col width="11" customWidth="1" min="30" max="30"/>
    <col width="11" customWidth="1" min="31" max="31"/>
    <col width="12" customWidth="1" min="32" max="32"/>
    <col width="20" customWidth="1" min="33" max="33"/>
    <col width="11" customWidth="1" min="34" max="34"/>
    <col width="26" customWidth="1" min="35" max="35"/>
    <col width="34" customWidth="1" min="36" max="36"/>
    <col width="11" customWidth="1" min="37" max="37"/>
    <col width="11" customWidth="1" min="38" max="38"/>
    <col width="12" customWidth="1" min="39" max="39"/>
    <col width="9" customWidth="1" min="40" max="40"/>
    <col width="17" customWidth="1" min="41" max="41"/>
    <col width="15" customWidth="1" min="42" max="42"/>
    <col width="14" customWidth="1" min="43" max="43"/>
    <col width="17" customWidth="1" min="44" max="44"/>
    <col width="27" customWidth="1" min="45" max="45"/>
    <col width="12" customWidth="1" min="46" max="46"/>
    <col width="9" customWidth="1" min="47" max="47"/>
    <col width="15" customWidth="1" min="48" max="48"/>
    <col width="22" customWidth="1" min="49" max="49"/>
    <col width="14" customWidth="1" min="50" max="50"/>
  </cols>
  <sheetData>
    <row r="1">
      <c r="A1" s="1" t="inlineStr">
        <is>
          <t>name</t>
        </is>
      </c>
      <c r="B1" s="1" t="inlineStr">
        <is>
          <t>unit_id</t>
        </is>
      </c>
      <c r="C1" s="1" t="inlineStr">
        <is>
          <t>tier</t>
        </is>
      </c>
      <c r="D1" s="1" t="inlineStr">
        <is>
          <t>cost_gold</t>
        </is>
      </c>
      <c r="E1" s="1" t="inlineStr">
        <is>
          <t>food</t>
        </is>
      </c>
      <c r="F1" s="1" t="inlineStr">
        <is>
          <t>upgrades_from</t>
        </is>
      </c>
      <c r="G1" s="1" t="inlineStr">
        <is>
          <t>upgrades_to</t>
        </is>
      </c>
      <c r="H1" s="1" t="inlineStr">
        <is>
          <t>traits</t>
        </is>
      </c>
      <c r="I1" s="1" t="inlineStr">
        <is>
          <t>targets</t>
        </is>
      </c>
      <c r="J1" s="1" t="inlineStr">
        <is>
          <t>atk1_min</t>
        </is>
      </c>
      <c r="K1" s="1" t="inlineStr">
        <is>
          <t>atk1_max</t>
        </is>
      </c>
      <c r="L1" s="1" t="inlineStr">
        <is>
          <t>atk1_mean</t>
        </is>
      </c>
      <c r="M1" s="1" t="inlineStr">
        <is>
          <t>atk1_cooldown</t>
        </is>
      </c>
      <c r="N1" s="1" t="inlineStr">
        <is>
          <t>atk1_range</t>
        </is>
      </c>
      <c r="O1" s="1" t="inlineStr">
        <is>
          <t>atk1_type</t>
        </is>
      </c>
      <c r="P1" s="1" t="inlineStr">
        <is>
          <t>atk1_dps</t>
        </is>
      </c>
      <c r="Q1" s="1" t="inlineStr">
        <is>
          <t>atk2_min</t>
        </is>
      </c>
      <c r="R1" s="1" t="inlineStr">
        <is>
          <t>atk2_max</t>
        </is>
      </c>
      <c r="S1" s="1" t="inlineStr">
        <is>
          <t>atk2_mean</t>
        </is>
      </c>
      <c r="T1" s="1" t="inlineStr">
        <is>
          <t>atk2_cooldown</t>
        </is>
      </c>
      <c r="U1" s="1" t="inlineStr">
        <is>
          <t>atk2_range</t>
        </is>
      </c>
      <c r="V1" s="1" t="inlineStr">
        <is>
          <t>atk2_type</t>
        </is>
      </c>
      <c r="W1" s="1" t="inlineStr">
        <is>
          <t>atk2_dps</t>
        </is>
      </c>
      <c r="X1" s="1" t="inlineStr">
        <is>
          <t>splash_targets</t>
        </is>
      </c>
      <c r="Y1" s="1" t="inlineStr">
        <is>
          <t>armour_type</t>
        </is>
      </c>
      <c r="Z1" s="1" t="inlineStr">
        <is>
          <t>armour_value</t>
        </is>
      </c>
      <c r="AA1" s="1" t="inlineStr">
        <is>
          <t>hp</t>
        </is>
      </c>
      <c r="AB1" s="1" t="inlineStr">
        <is>
          <t>cost_lumber</t>
        </is>
      </c>
      <c r="AC1" s="1" t="inlineStr">
        <is>
          <t>atk1_weapon</t>
        </is>
      </c>
      <c r="AD1" s="1" t="inlineStr">
        <is>
          <t>atk1_base</t>
        </is>
      </c>
      <c r="AE1" s="1" t="inlineStr">
        <is>
          <t>atk1_dice</t>
        </is>
      </c>
      <c r="AF1" s="1" t="inlineStr">
        <is>
          <t>atk1_sides</t>
        </is>
      </c>
      <c r="AG1" s="1" t="inlineStr">
        <is>
          <t>atk1_type_resolved</t>
        </is>
      </c>
      <c r="AH1" s="1" t="inlineStr">
        <is>
          <t>base_unit</t>
        </is>
      </c>
      <c r="AI1" s="1" t="inlineStr">
        <is>
          <t>abilities</t>
        </is>
      </c>
      <c r="AJ1" s="1" t="inlineStr">
        <is>
          <t>tooltip</t>
        </is>
      </c>
      <c r="AK1" s="1" t="inlineStr">
        <is>
          <t>atk2_base</t>
        </is>
      </c>
      <c r="AL1" s="1" t="inlineStr">
        <is>
          <t>atk2_dice</t>
        </is>
      </c>
      <c r="AM1" s="1" t="inlineStr">
        <is>
          <t>atk2_sides</t>
        </is>
      </c>
      <c r="AN1" s="1" t="inlineStr">
        <is>
          <t>dps_raw</t>
        </is>
      </c>
      <c r="AO1" s="1" t="inlineStr">
        <is>
          <t>crit_multiplier</t>
        </is>
      </c>
      <c r="AP1" s="1" t="inlineStr">
        <is>
          <t>dps_with_crit</t>
        </is>
      </c>
      <c r="AQ1" s="1" t="inlineStr">
        <is>
          <t>dps_per_gold</t>
        </is>
      </c>
      <c r="AR1" s="1" t="inlineStr">
        <is>
          <t>coverage_vs_725</t>
        </is>
      </c>
      <c r="AS1" s="1" t="inlineStr">
        <is>
          <t>dps_per_gold_coverage_adj</t>
        </is>
      </c>
      <c r="AT1" s="1" t="inlineStr">
        <is>
          <t>on_hit_dps</t>
        </is>
      </c>
      <c r="AU1" s="1" t="inlineStr">
        <is>
          <t>dot_dps</t>
        </is>
      </c>
      <c r="AV1" s="1" t="inlineStr">
        <is>
          <t>dps_total_est</t>
        </is>
      </c>
      <c r="AW1" s="1" t="inlineStr">
        <is>
          <t>dps_per_gold_x_range</t>
        </is>
      </c>
      <c r="AX1" s="1" t="inlineStr">
        <is>
          <t>dps_source</t>
        </is>
      </c>
    </row>
    <row r="2">
      <c r="A2" t="inlineStr">
        <is>
          <t>Peasant</t>
        </is>
      </c>
      <c r="B2" t="inlineStr">
        <is>
          <t>h008</t>
        </is>
      </c>
      <c r="C2" t="n">
        <v>1</v>
      </c>
      <c r="D2" t="n">
        <v>10</v>
      </c>
      <c r="E2" t="n">
        <v>0</v>
      </c>
      <c r="G2" t="inlineStr">
        <is>
          <t>Hylgion Militia</t>
        </is>
      </c>
      <c r="H2" t="inlineStr">
        <is>
          <t>Vindicator II (A03C)</t>
        </is>
      </c>
      <c r="I2" t="inlineStr">
        <is>
          <t>air,enemies,ground,nonancient</t>
        </is>
      </c>
      <c r="J2" t="n">
        <v>16</v>
      </c>
      <c r="K2" t="n">
        <v>16</v>
      </c>
      <c r="L2" t="n">
        <v>16</v>
      </c>
      <c r="M2" t="n">
        <v>0.6</v>
      </c>
      <c r="N2" t="n">
        <v>125</v>
      </c>
      <c r="P2" t="n">
        <v>26.7</v>
      </c>
      <c r="Z2" t="n">
        <v>0</v>
      </c>
      <c r="AA2" t="n">
        <v>1250</v>
      </c>
      <c r="AB2" t="n">
        <v>0</v>
      </c>
      <c r="AC2" t="inlineStr">
        <is>
          <t>normal</t>
        </is>
      </c>
      <c r="AD2" t="n">
        <v>15</v>
      </c>
      <c r="AE2" t="n">
        <v>1</v>
      </c>
      <c r="AF2" t="n">
        <v>1</v>
      </c>
      <c r="AG2" t="inlineStr">
        <is>
          <t>normal</t>
        </is>
      </c>
      <c r="AH2" t="inlineStr">
        <is>
          <t>hhou</t>
        </is>
      </c>
      <c r="AI2" t="inlineStr">
        <is>
          <t>A03C,A028</t>
        </is>
      </c>
      <c r="AJ2" t="inlineStr">
        <is>
          <t>Build Peasant ( Q )</t>
        </is>
      </c>
      <c r="AN2" t="n">
        <v>26.7</v>
      </c>
      <c r="AO2" t="n">
        <v>3.5</v>
      </c>
      <c r="AP2">
        <f>AN2*AO2</f>
        <v/>
      </c>
      <c r="AQ2">
        <f>IF(D2=0,"",AV2/D2)</f>
        <v/>
      </c>
      <c r="AR2">
        <f>(N2/725)^2</f>
        <v/>
      </c>
      <c r="AS2">
        <f>IF(D2=0,"",AQ2*AR2)</f>
        <v/>
      </c>
      <c r="AV2">
        <f>AP2+N(AT2)+N(AU2)</f>
        <v/>
      </c>
      <c r="AW2">
        <f>IF(D2=0,"",AQ2*(N2/725))</f>
        <v/>
      </c>
      <c r="AX2" t="inlineStr">
        <is>
          <t>basic attack</t>
        </is>
      </c>
    </row>
    <row r="3">
      <c r="A3" t="inlineStr">
        <is>
          <t>Hylgion Militia</t>
        </is>
      </c>
      <c r="B3" t="inlineStr">
        <is>
          <t>h001</t>
        </is>
      </c>
      <c r="C3" t="n">
        <v>2</v>
      </c>
      <c r="D3" t="n">
        <v>35</v>
      </c>
      <c r="E3" t="n">
        <v>0</v>
      </c>
      <c r="F3" t="inlineStr">
        <is>
          <t>Peasant</t>
        </is>
      </c>
      <c r="H3" t="inlineStr">
        <is>
          <t>Vindicator III (A02Z)</t>
        </is>
      </c>
      <c r="I3" t="inlineStr">
        <is>
          <t>air,enemies,ground,nonancient</t>
        </is>
      </c>
      <c r="J3" t="n">
        <v>42</v>
      </c>
      <c r="K3" t="n">
        <v>43</v>
      </c>
      <c r="L3" t="n">
        <v>42.5</v>
      </c>
      <c r="M3" t="n">
        <v>0.3</v>
      </c>
      <c r="N3" t="n">
        <v>125</v>
      </c>
      <c r="P3" t="n">
        <v>141.7</v>
      </c>
      <c r="Z3" t="n">
        <v>0</v>
      </c>
      <c r="AA3" t="n">
        <v>1500</v>
      </c>
      <c r="AB3" t="n">
        <v>0</v>
      </c>
      <c r="AC3" t="inlineStr">
        <is>
          <t>normal</t>
        </is>
      </c>
      <c r="AD3" t="n">
        <v>41</v>
      </c>
      <c r="AE3" t="n">
        <v>1</v>
      </c>
      <c r="AF3" t="n">
        <v>2</v>
      </c>
      <c r="AG3" t="inlineStr">
        <is>
          <t>normal</t>
        </is>
      </c>
      <c r="AH3" t="inlineStr">
        <is>
          <t>hhou</t>
        </is>
      </c>
      <c r="AI3" t="inlineStr">
        <is>
          <t>A02Z,A028</t>
        </is>
      </c>
      <c r="AJ3" t="inlineStr">
        <is>
          <t>U pgrade to Hylgion Militia</t>
        </is>
      </c>
      <c r="AN3" t="n">
        <v>141.7</v>
      </c>
      <c r="AO3" t="n">
        <v>5.5</v>
      </c>
      <c r="AP3">
        <f>AN3*AO3</f>
        <v/>
      </c>
      <c r="AQ3">
        <f>IF(D3=0,"",AV3/D3)</f>
        <v/>
      </c>
      <c r="AR3">
        <f>(N3/725)^2</f>
        <v/>
      </c>
      <c r="AS3">
        <f>IF(D3=0,"",AQ3*AR3)</f>
        <v/>
      </c>
      <c r="AV3">
        <f>AP3+N(AT3)+N(AU3)</f>
        <v/>
      </c>
      <c r="AW3">
        <f>IF(D3=0,"",AQ3*(N3/725))</f>
        <v/>
      </c>
      <c r="AX3" t="inlineStr">
        <is>
          <t>basic attack</t>
        </is>
      </c>
    </row>
    <row r="4">
      <c r="A4" t="inlineStr">
        <is>
          <t>Spear Guard</t>
        </is>
      </c>
      <c r="B4" t="inlineStr">
        <is>
          <t>h009</t>
        </is>
      </c>
      <c r="C4" t="n">
        <v>1</v>
      </c>
      <c r="D4" t="n">
        <v>75</v>
      </c>
      <c r="E4" t="n">
        <v>0</v>
      </c>
      <c r="G4" t="inlineStr">
        <is>
          <t>Axeman</t>
        </is>
      </c>
      <c r="H4" t="inlineStr">
        <is>
          <t>Air Critical Strike I (A005); Slow Poison I (Aspo)</t>
        </is>
      </c>
      <c r="I4" t="inlineStr">
        <is>
          <t>air,enemies,ground,nonancient</t>
        </is>
      </c>
      <c r="J4" t="n">
        <v>99</v>
      </c>
      <c r="K4" t="n">
        <v>107</v>
      </c>
      <c r="L4" t="n">
        <v>103</v>
      </c>
      <c r="M4" t="n">
        <v>0.6</v>
      </c>
      <c r="N4" t="n">
        <v>850</v>
      </c>
      <c r="P4" t="n">
        <v>171.7</v>
      </c>
      <c r="Z4" t="n">
        <v>0</v>
      </c>
      <c r="AA4" t="n">
        <v>1750</v>
      </c>
      <c r="AB4" t="n">
        <v>0</v>
      </c>
      <c r="AC4" t="inlineStr">
        <is>
          <t>missile</t>
        </is>
      </c>
      <c r="AD4" t="n">
        <v>98</v>
      </c>
      <c r="AE4" t="n">
        <v>1</v>
      </c>
      <c r="AF4" t="n">
        <v>9</v>
      </c>
      <c r="AG4" t="inlineStr">
        <is>
          <t>normal</t>
        </is>
      </c>
      <c r="AH4" t="inlineStr">
        <is>
          <t>hhou</t>
        </is>
      </c>
      <c r="AI4" t="inlineStr">
        <is>
          <t>A028,A005,Aspo</t>
        </is>
      </c>
      <c r="AJ4" t="inlineStr">
        <is>
          <t>Build Spear Guard ( W )</t>
        </is>
      </c>
      <c r="AN4" t="n">
        <v>171.7</v>
      </c>
      <c r="AO4" t="n">
        <v>1.25</v>
      </c>
      <c r="AP4">
        <f>AN4*AO4</f>
        <v/>
      </c>
      <c r="AQ4">
        <f>IF(D4=0,"",AV4/D4)</f>
        <v/>
      </c>
      <c r="AR4">
        <f>(N4/725)^2</f>
        <v/>
      </c>
      <c r="AS4">
        <f>IF(D4=0,"",AQ4*AR4)</f>
        <v/>
      </c>
      <c r="AU4" t="n">
        <v>4</v>
      </c>
      <c r="AV4">
        <f>AP4+N(AT4)+N(AU4)</f>
        <v/>
      </c>
      <c r="AW4">
        <f>IF(D4=0,"",AQ4*(N4/725))</f>
        <v/>
      </c>
      <c r="AX4" t="inlineStr">
        <is>
          <t>basic attack</t>
        </is>
      </c>
    </row>
    <row r="5">
      <c r="A5" t="inlineStr">
        <is>
          <t>Axeman</t>
        </is>
      </c>
      <c r="B5" t="inlineStr">
        <is>
          <t>h01Z</t>
        </is>
      </c>
      <c r="C5" t="n">
        <v>2</v>
      </c>
      <c r="D5" t="n">
        <v>140</v>
      </c>
      <c r="E5" t="n">
        <v>0</v>
      </c>
      <c r="F5" t="inlineStr">
        <is>
          <t>Spear Guard</t>
        </is>
      </c>
      <c r="H5" t="inlineStr">
        <is>
          <t>Versatile Critical Strike I (A004); Slow Poison II (A008)</t>
        </is>
      </c>
      <c r="I5" t="inlineStr">
        <is>
          <t>air,enemies,ground,nonancient</t>
        </is>
      </c>
      <c r="J5" t="n">
        <v>350</v>
      </c>
      <c r="K5" t="n">
        <v>354</v>
      </c>
      <c r="L5" t="n">
        <v>352</v>
      </c>
      <c r="M5" t="n">
        <v>0.3</v>
      </c>
      <c r="N5" t="n">
        <v>125</v>
      </c>
      <c r="P5" t="n">
        <v>1173.3</v>
      </c>
      <c r="Z5" t="n">
        <v>0</v>
      </c>
      <c r="AA5" t="n">
        <v>2000</v>
      </c>
      <c r="AB5" t="n">
        <v>0</v>
      </c>
      <c r="AC5" t="inlineStr">
        <is>
          <t>normal</t>
        </is>
      </c>
      <c r="AD5" t="n">
        <v>349</v>
      </c>
      <c r="AE5" t="n">
        <v>1</v>
      </c>
      <c r="AF5" t="n">
        <v>5</v>
      </c>
      <c r="AG5" t="inlineStr">
        <is>
          <t>normal</t>
        </is>
      </c>
      <c r="AH5" t="inlineStr">
        <is>
          <t>hhou</t>
        </is>
      </c>
      <c r="AI5" t="inlineStr">
        <is>
          <t>A028,A004,A008</t>
        </is>
      </c>
      <c r="AJ5" t="inlineStr">
        <is>
          <t>U pgrade to Axeman</t>
        </is>
      </c>
      <c r="AN5" t="n">
        <v>1173.3</v>
      </c>
      <c r="AO5" t="n">
        <v>1.52</v>
      </c>
      <c r="AP5">
        <f>AN5*AO5</f>
        <v/>
      </c>
      <c r="AQ5">
        <f>IF(D5=0,"",AV5/D5)</f>
        <v/>
      </c>
      <c r="AR5">
        <f>(N5/725)^2</f>
        <v/>
      </c>
      <c r="AS5">
        <f>IF(D5=0,"",AQ5*AR5)</f>
        <v/>
      </c>
      <c r="AU5" t="n">
        <v>36</v>
      </c>
      <c r="AV5">
        <f>AP5+N(AT5)+N(AU5)</f>
        <v/>
      </c>
      <c r="AW5">
        <f>IF(D5=0,"",AQ5*(N5/725))</f>
        <v/>
      </c>
      <c r="AX5" t="inlineStr">
        <is>
          <t>basic attack</t>
        </is>
      </c>
    </row>
    <row r="6">
      <c r="A6" t="inlineStr">
        <is>
          <t>Shinobi</t>
        </is>
      </c>
      <c r="B6" t="inlineStr">
        <is>
          <t>h00C</t>
        </is>
      </c>
      <c r="C6" t="n">
        <v>1</v>
      </c>
      <c r="D6" t="n">
        <v>135</v>
      </c>
      <c r="E6" t="n">
        <v>0</v>
      </c>
      <c r="G6" t="inlineStr">
        <is>
          <t>Orobos Slave</t>
        </is>
      </c>
      <c r="H6" t="inlineStr">
        <is>
          <t>Weak Splash (A020); Frost I (Afra)</t>
        </is>
      </c>
      <c r="I6" t="inlineStr">
        <is>
          <t>air,enemies,ground,nonancient</t>
        </is>
      </c>
      <c r="J6" t="n">
        <v>103</v>
      </c>
      <c r="K6" t="n">
        <v>107</v>
      </c>
      <c r="L6" t="n">
        <v>105</v>
      </c>
      <c r="M6" t="n">
        <v>0.6</v>
      </c>
      <c r="N6" t="n">
        <v>350</v>
      </c>
      <c r="P6" t="n">
        <v>175</v>
      </c>
      <c r="X6" t="inlineStr">
        <is>
          <t>air,enemies,ground,nonancient</t>
        </is>
      </c>
      <c r="Z6" t="n">
        <v>0</v>
      </c>
      <c r="AA6" t="n">
        <v>1750</v>
      </c>
      <c r="AB6" t="n">
        <v>0</v>
      </c>
      <c r="AC6" t="inlineStr">
        <is>
          <t>msplash</t>
        </is>
      </c>
      <c r="AD6" t="n">
        <v>102</v>
      </c>
      <c r="AE6" t="n">
        <v>1</v>
      </c>
      <c r="AF6" t="n">
        <v>5</v>
      </c>
      <c r="AG6" t="inlineStr">
        <is>
          <t>normal</t>
        </is>
      </c>
      <c r="AH6" t="inlineStr">
        <is>
          <t>hhou</t>
        </is>
      </c>
      <c r="AI6" t="inlineStr">
        <is>
          <t>A028,A020,Afra</t>
        </is>
      </c>
      <c r="AJ6" t="inlineStr">
        <is>
          <t>Build Shinobi ( E )</t>
        </is>
      </c>
      <c r="AN6" t="n">
        <v>175</v>
      </c>
      <c r="AO6" t="n">
        <v>1</v>
      </c>
      <c r="AP6">
        <f>AN6*AO6</f>
        <v/>
      </c>
      <c r="AQ6">
        <f>IF(D6=0,"",AV6/D6)</f>
        <v/>
      </c>
      <c r="AR6">
        <f>(N6/725)^2</f>
        <v/>
      </c>
      <c r="AS6">
        <f>IF(D6=0,"",AQ6*AR6)</f>
        <v/>
      </c>
      <c r="AV6">
        <f>AP6+N(AT6)+N(AU6)</f>
        <v/>
      </c>
      <c r="AW6">
        <f>IF(D6=0,"",AQ6*(N6/725))</f>
        <v/>
      </c>
      <c r="AX6" t="inlineStr">
        <is>
          <t>basic attack</t>
        </is>
      </c>
    </row>
    <row r="7">
      <c r="A7" t="inlineStr">
        <is>
          <t>Orobos Slave</t>
        </is>
      </c>
      <c r="B7" t="inlineStr">
        <is>
          <t>h00D</t>
        </is>
      </c>
      <c r="C7" t="n">
        <v>2</v>
      </c>
      <c r="D7" t="n">
        <v>190</v>
      </c>
      <c r="E7" t="n">
        <v>0</v>
      </c>
      <c r="F7" t="inlineStr">
        <is>
          <t>Shinobi</t>
        </is>
      </c>
      <c r="H7" t="inlineStr">
        <is>
          <t>Splash (A021); Vindicator I (A02Y); Frost I (Afra)</t>
        </is>
      </c>
      <c r="I7" t="inlineStr">
        <is>
          <t>air,enemies,ground,nonancient</t>
        </is>
      </c>
      <c r="J7" t="n">
        <v>275</v>
      </c>
      <c r="K7" t="n">
        <v>275</v>
      </c>
      <c r="L7" t="n">
        <v>275</v>
      </c>
      <c r="M7" t="n">
        <v>0.3</v>
      </c>
      <c r="N7" t="n">
        <v>400</v>
      </c>
      <c r="O7" t="inlineStr">
        <is>
          <t>magic</t>
        </is>
      </c>
      <c r="P7" t="n">
        <v>916.7</v>
      </c>
      <c r="X7" t="inlineStr">
        <is>
          <t>air,enemies,ground,nonancient</t>
        </is>
      </c>
      <c r="Z7" t="n">
        <v>0</v>
      </c>
      <c r="AA7" t="n">
        <v>2000</v>
      </c>
      <c r="AB7" t="n">
        <v>0</v>
      </c>
      <c r="AC7" t="inlineStr">
        <is>
          <t>missile</t>
        </is>
      </c>
      <c r="AD7" t="n">
        <v>274</v>
      </c>
      <c r="AE7" t="n">
        <v>1</v>
      </c>
      <c r="AF7" t="n">
        <v>1</v>
      </c>
      <c r="AG7" t="inlineStr">
        <is>
          <t>magic</t>
        </is>
      </c>
      <c r="AH7" t="inlineStr">
        <is>
          <t>hhou</t>
        </is>
      </c>
      <c r="AI7" t="inlineStr">
        <is>
          <t>A021,A02Y,A028,Afra</t>
        </is>
      </c>
      <c r="AJ7" t="inlineStr">
        <is>
          <t>U pgrade to Orobos Slave</t>
        </is>
      </c>
      <c r="AN7" t="n">
        <v>916.7</v>
      </c>
      <c r="AO7" t="n">
        <v>2.25</v>
      </c>
      <c r="AP7">
        <f>AN7*AO7</f>
        <v/>
      </c>
      <c r="AQ7">
        <f>IF(D7=0,"",AV7/D7)</f>
        <v/>
      </c>
      <c r="AR7">
        <f>(N7/725)^2</f>
        <v/>
      </c>
      <c r="AS7">
        <f>IF(D7=0,"",AQ7*AR7)</f>
        <v/>
      </c>
      <c r="AV7">
        <f>AP7+N(AT7)+N(AU7)</f>
        <v/>
      </c>
      <c r="AW7">
        <f>IF(D7=0,"",AQ7*(N7/725))</f>
        <v/>
      </c>
      <c r="AX7" t="inlineStr">
        <is>
          <t>basic attack</t>
        </is>
      </c>
    </row>
    <row r="8">
      <c r="A8" t="inlineStr">
        <is>
          <t>Ruthless Warlord</t>
        </is>
      </c>
      <c r="B8" t="inlineStr">
        <is>
          <t>h00E</t>
        </is>
      </c>
      <c r="C8" t="n">
        <v>1</v>
      </c>
      <c r="D8" t="n">
        <v>325</v>
      </c>
      <c r="E8" t="n">
        <v>0</v>
      </c>
      <c r="H8" t="inlineStr">
        <is>
          <t>Slow Poison II (A008)</t>
        </is>
      </c>
      <c r="I8" t="inlineStr">
        <is>
          <t>air,enemies,ground,nonancient</t>
        </is>
      </c>
      <c r="J8" t="n">
        <v>929</v>
      </c>
      <c r="K8" t="n">
        <v>943</v>
      </c>
      <c r="L8" t="n">
        <v>936</v>
      </c>
      <c r="M8" t="n">
        <v>0.3</v>
      </c>
      <c r="N8" t="n">
        <v>125</v>
      </c>
      <c r="P8" t="n">
        <v>3120</v>
      </c>
      <c r="Z8" t="n">
        <v>0</v>
      </c>
      <c r="AA8" t="n">
        <v>2250</v>
      </c>
      <c r="AB8" t="n">
        <v>0</v>
      </c>
      <c r="AC8" t="inlineStr">
        <is>
          <t>normal</t>
        </is>
      </c>
      <c r="AD8" t="n">
        <v>928</v>
      </c>
      <c r="AE8" t="n">
        <v>1</v>
      </c>
      <c r="AF8" t="n">
        <v>15</v>
      </c>
      <c r="AG8" t="inlineStr">
        <is>
          <t>normal</t>
        </is>
      </c>
      <c r="AH8" t="inlineStr">
        <is>
          <t>hhou</t>
        </is>
      </c>
      <c r="AI8" t="inlineStr">
        <is>
          <t>A028,A008</t>
        </is>
      </c>
      <c r="AJ8" t="inlineStr">
        <is>
          <t>Build Ruthless Warlord ( R )</t>
        </is>
      </c>
      <c r="AN8" t="n">
        <v>3120</v>
      </c>
      <c r="AO8" t="n">
        <v>1</v>
      </c>
      <c r="AP8">
        <f>AN8*AO8</f>
        <v/>
      </c>
      <c r="AQ8">
        <f>IF(D8=0,"",AV8/D8)</f>
        <v/>
      </c>
      <c r="AR8">
        <f>(N8/725)^2</f>
        <v/>
      </c>
      <c r="AS8">
        <f>IF(D8=0,"",AQ8*AR8)</f>
        <v/>
      </c>
      <c r="AU8" t="n">
        <v>36</v>
      </c>
      <c r="AV8">
        <f>AP8+N(AT8)+N(AU8)</f>
        <v/>
      </c>
      <c r="AW8">
        <f>IF(D8=0,"",AQ8*(N8/725))</f>
        <v/>
      </c>
      <c r="AX8" t="inlineStr">
        <is>
          <t>basic attack</t>
        </is>
      </c>
    </row>
    <row r="9">
      <c r="A9" t="inlineStr">
        <is>
          <t>Village Medic</t>
        </is>
      </c>
      <c r="B9" t="inlineStr">
        <is>
          <t>h045</t>
        </is>
      </c>
      <c r="C9" t="n">
        <v>1</v>
      </c>
      <c r="D9" t="n">
        <v>40</v>
      </c>
      <c r="E9" t="n">
        <v>0</v>
      </c>
      <c r="H9" t="inlineStr">
        <is>
          <t>Healing Aura (ACce)</t>
        </is>
      </c>
      <c r="I9" t="inlineStr">
        <is>
          <t>air,enemies,ground,nonancient</t>
        </is>
      </c>
      <c r="J9" t="n">
        <v>49</v>
      </c>
      <c r="K9" t="n">
        <v>49</v>
      </c>
      <c r="L9" t="n">
        <v>49</v>
      </c>
      <c r="M9" t="n">
        <v>0.6</v>
      </c>
      <c r="N9" t="n">
        <v>125</v>
      </c>
      <c r="P9" t="n">
        <v>81.7</v>
      </c>
      <c r="Z9" t="n">
        <v>2</v>
      </c>
      <c r="AA9" t="n">
        <v>1500</v>
      </c>
      <c r="AB9" t="n">
        <v>0</v>
      </c>
      <c r="AC9" t="inlineStr">
        <is>
          <t>normal</t>
        </is>
      </c>
      <c r="AD9" t="n">
        <v>48</v>
      </c>
      <c r="AE9" t="n">
        <v>1</v>
      </c>
      <c r="AF9" t="n">
        <v>1</v>
      </c>
      <c r="AG9" t="inlineStr">
        <is>
          <t>normal</t>
        </is>
      </c>
      <c r="AH9" t="inlineStr">
        <is>
          <t>hhou</t>
        </is>
      </c>
      <c r="AI9" t="inlineStr">
        <is>
          <t>A028,ACce</t>
        </is>
      </c>
      <c r="AJ9" t="inlineStr">
        <is>
          <t>Build Village Medic ( A )</t>
        </is>
      </c>
      <c r="AN9" t="n">
        <v>81.7</v>
      </c>
      <c r="AO9" t="n">
        <v>1</v>
      </c>
      <c r="AP9">
        <f>AN9*AO9</f>
        <v/>
      </c>
      <c r="AQ9">
        <f>IF(D9=0,"",AV9/D9)</f>
        <v/>
      </c>
      <c r="AR9">
        <f>(N9/725)^2</f>
        <v/>
      </c>
      <c r="AS9">
        <f>IF(D9=0,"",AQ9*AR9)</f>
        <v/>
      </c>
      <c r="AV9">
        <f>AP9+N(AT9)+N(AU9)</f>
        <v/>
      </c>
      <c r="AW9">
        <f>IF(D9=0,"",AQ9*(N9/725))</f>
        <v/>
      </c>
      <c r="AX9" t="inlineStr">
        <is>
          <t>basic attack</t>
        </is>
      </c>
    </row>
    <row r="10">
      <c r="A10" t="inlineStr">
        <is>
          <t>Marksman</t>
        </is>
      </c>
      <c r="B10" t="inlineStr">
        <is>
          <t>h00J</t>
        </is>
      </c>
      <c r="C10" t="n">
        <v>1</v>
      </c>
      <c r="D10" t="n">
        <v>120</v>
      </c>
      <c r="E10" t="n">
        <v>0</v>
      </c>
      <c r="G10" t="inlineStr">
        <is>
          <t>Tamed Game</t>
        </is>
      </c>
      <c r="H10" t="inlineStr">
        <is>
          <t>Boss Assassin II (A00R)</t>
        </is>
      </c>
      <c r="I10" t="inlineStr">
        <is>
          <t>air,enemies,ground,nonancient</t>
        </is>
      </c>
      <c r="J10" t="n">
        <v>179</v>
      </c>
      <c r="K10" t="n">
        <v>184</v>
      </c>
      <c r="L10" t="n">
        <v>181.5</v>
      </c>
      <c r="M10" t="n">
        <v>0.5</v>
      </c>
      <c r="N10" t="n">
        <v>950</v>
      </c>
      <c r="O10" t="inlineStr">
        <is>
          <t>magic</t>
        </is>
      </c>
      <c r="P10" t="n">
        <v>363</v>
      </c>
      <c r="Z10" t="n">
        <v>1</v>
      </c>
      <c r="AA10" t="n">
        <v>1500</v>
      </c>
      <c r="AB10" t="n">
        <v>0</v>
      </c>
      <c r="AC10" t="inlineStr">
        <is>
          <t>missile</t>
        </is>
      </c>
      <c r="AD10" t="n">
        <v>178</v>
      </c>
      <c r="AE10" t="n">
        <v>1</v>
      </c>
      <c r="AF10" t="n">
        <v>6</v>
      </c>
      <c r="AG10" t="inlineStr">
        <is>
          <t>magic</t>
        </is>
      </c>
      <c r="AH10" t="inlineStr">
        <is>
          <t>hhou</t>
        </is>
      </c>
      <c r="AI10" t="inlineStr">
        <is>
          <t>A00R,A028</t>
        </is>
      </c>
      <c r="AJ10" t="inlineStr">
        <is>
          <t>Build Marksman ( S )</t>
        </is>
      </c>
      <c r="AN10" t="n">
        <v>363</v>
      </c>
      <c r="AO10" t="n">
        <v>1</v>
      </c>
      <c r="AP10">
        <f>AN10*AO10</f>
        <v/>
      </c>
      <c r="AQ10">
        <f>IF(D10=0,"",AV10/D10)</f>
        <v/>
      </c>
      <c r="AR10">
        <f>(N10/725)^2</f>
        <v/>
      </c>
      <c r="AS10">
        <f>IF(D10=0,"",AQ10*AR10)</f>
        <v/>
      </c>
      <c r="AV10">
        <f>AP10+N(AT10)+N(AU10)</f>
        <v/>
      </c>
      <c r="AW10">
        <f>IF(D10=0,"",AQ10*(N10/725))</f>
        <v/>
      </c>
      <c r="AX10" t="inlineStr">
        <is>
          <t>basic attack</t>
        </is>
      </c>
    </row>
    <row r="11">
      <c r="A11" t="inlineStr">
        <is>
          <t>Tamed Game</t>
        </is>
      </c>
      <c r="B11" t="inlineStr">
        <is>
          <t>h00L</t>
        </is>
      </c>
      <c r="C11" t="n">
        <v>2</v>
      </c>
      <c r="D11" t="n">
        <v>205</v>
      </c>
      <c r="E11" t="n">
        <v>0</v>
      </c>
      <c r="F11" t="inlineStr">
        <is>
          <t>Marksman</t>
        </is>
      </c>
      <c r="H11" t="inlineStr">
        <is>
          <t>Air Critical Strike II (A006)</t>
        </is>
      </c>
      <c r="I11" t="inlineStr">
        <is>
          <t>air,enemies,ground,nonancient</t>
        </is>
      </c>
      <c r="J11" t="n">
        <v>400</v>
      </c>
      <c r="K11" t="n">
        <v>403</v>
      </c>
      <c r="L11" t="n">
        <v>401.5</v>
      </c>
      <c r="M11" t="n">
        <v>0.5</v>
      </c>
      <c r="N11" t="n">
        <v>1050</v>
      </c>
      <c r="O11" t="inlineStr">
        <is>
          <t>magic</t>
        </is>
      </c>
      <c r="P11" t="n">
        <v>803</v>
      </c>
      <c r="Z11" t="n">
        <v>2</v>
      </c>
      <c r="AA11" t="n">
        <v>2000</v>
      </c>
      <c r="AB11" t="n">
        <v>0</v>
      </c>
      <c r="AC11" t="inlineStr">
        <is>
          <t>missile</t>
        </is>
      </c>
      <c r="AD11" t="n">
        <v>399</v>
      </c>
      <c r="AE11" t="n">
        <v>1</v>
      </c>
      <c r="AF11" t="n">
        <v>4</v>
      </c>
      <c r="AG11" t="inlineStr">
        <is>
          <t>magic</t>
        </is>
      </c>
      <c r="AH11" t="inlineStr">
        <is>
          <t>hhou</t>
        </is>
      </c>
      <c r="AI11" t="inlineStr">
        <is>
          <t>A028,A006</t>
        </is>
      </c>
      <c r="AJ11" t="inlineStr">
        <is>
          <t>U pgrade to Tamed Game</t>
        </is>
      </c>
      <c r="AN11" t="n">
        <v>803</v>
      </c>
      <c r="AO11" t="n">
        <v>2.5</v>
      </c>
      <c r="AP11">
        <f>AN11*AO11</f>
        <v/>
      </c>
      <c r="AQ11">
        <f>IF(D11=0,"",AV11/D11)</f>
        <v/>
      </c>
      <c r="AR11">
        <f>(N11/725)^2</f>
        <v/>
      </c>
      <c r="AS11">
        <f>IF(D11=0,"",AQ11*AR11)</f>
        <v/>
      </c>
      <c r="AV11">
        <f>AP11+N(AT11)+N(AU11)</f>
        <v/>
      </c>
      <c r="AW11">
        <f>IF(D11=0,"",AQ11*(N11/725))</f>
        <v/>
      </c>
      <c r="AX11" t="inlineStr">
        <is>
          <t>basic attack</t>
        </is>
      </c>
    </row>
    <row r="12">
      <c r="A12" t="inlineStr">
        <is>
          <t>Bladesmith</t>
        </is>
      </c>
      <c r="B12" t="inlineStr">
        <is>
          <t>h00K</t>
        </is>
      </c>
      <c r="C12" t="n">
        <v>1</v>
      </c>
      <c r="D12" t="n">
        <v>120</v>
      </c>
      <c r="E12" t="n">
        <v>0</v>
      </c>
      <c r="G12" t="inlineStr">
        <is>
          <t>Impervious Armor</t>
        </is>
      </c>
      <c r="H12" t="inlineStr">
        <is>
          <t>Fortitude (A047); Vindicator II (A03C)</t>
        </is>
      </c>
      <c r="I12" t="inlineStr">
        <is>
          <t>air,enemies,ground,nonancient</t>
        </is>
      </c>
      <c r="J12" t="n">
        <v>336</v>
      </c>
      <c r="K12" t="n">
        <v>344</v>
      </c>
      <c r="L12" t="n">
        <v>340</v>
      </c>
      <c r="M12" t="n">
        <v>0.5</v>
      </c>
      <c r="N12" t="n">
        <v>125</v>
      </c>
      <c r="P12" t="n">
        <v>680</v>
      </c>
      <c r="Z12" t="n">
        <v>4</v>
      </c>
      <c r="AA12" t="n">
        <v>2000</v>
      </c>
      <c r="AB12" t="n">
        <v>0</v>
      </c>
      <c r="AC12" t="inlineStr">
        <is>
          <t>normal</t>
        </is>
      </c>
      <c r="AD12" t="n">
        <v>335</v>
      </c>
      <c r="AE12" t="n">
        <v>1</v>
      </c>
      <c r="AF12" t="n">
        <v>9</v>
      </c>
      <c r="AG12" t="inlineStr">
        <is>
          <t>normal</t>
        </is>
      </c>
      <c r="AH12" t="inlineStr">
        <is>
          <t>hhou</t>
        </is>
      </c>
      <c r="AI12" t="inlineStr">
        <is>
          <t>A047,A03C,A028</t>
        </is>
      </c>
      <c r="AJ12" t="inlineStr">
        <is>
          <t>Build Bladesmith ( D )</t>
        </is>
      </c>
      <c r="AN12" t="n">
        <v>680</v>
      </c>
      <c r="AO12" t="n">
        <v>3.5</v>
      </c>
      <c r="AP12">
        <f>AN12*AO12</f>
        <v/>
      </c>
      <c r="AQ12">
        <f>IF(D12=0,"",AV12/D12)</f>
        <v/>
      </c>
      <c r="AR12">
        <f>(N12/725)^2</f>
        <v/>
      </c>
      <c r="AS12">
        <f>IF(D12=0,"",AQ12*AR12)</f>
        <v/>
      </c>
      <c r="AV12">
        <f>AP12+N(AT12)+N(AU12)</f>
        <v/>
      </c>
      <c r="AW12">
        <f>IF(D12=0,"",AQ12*(N12/725))</f>
        <v/>
      </c>
      <c r="AX12" t="inlineStr">
        <is>
          <t>basic attack</t>
        </is>
      </c>
    </row>
    <row r="13">
      <c r="A13" t="inlineStr">
        <is>
          <t>Impervious Armor</t>
        </is>
      </c>
      <c r="B13" t="inlineStr">
        <is>
          <t>h00M</t>
        </is>
      </c>
      <c r="C13" t="n">
        <v>2</v>
      </c>
      <c r="D13" t="n">
        <v>200</v>
      </c>
      <c r="E13" t="n">
        <v>0</v>
      </c>
      <c r="F13" t="inlineStr">
        <is>
          <t>Bladesmith</t>
        </is>
      </c>
      <c r="H13" t="inlineStr">
        <is>
          <t>Fortitude (A047); Vindicator III (A02Z); Bash II (ACbh); Frost I (Afra)</t>
        </is>
      </c>
      <c r="I13" t="inlineStr">
        <is>
          <t>air,enemies,ground,nonancient</t>
        </is>
      </c>
      <c r="J13" t="n">
        <v>805</v>
      </c>
      <c r="K13" t="n">
        <v>819</v>
      </c>
      <c r="L13" t="n">
        <v>812</v>
      </c>
      <c r="M13" t="n">
        <v>0.5</v>
      </c>
      <c r="N13" t="n">
        <v>125</v>
      </c>
      <c r="P13" t="n">
        <v>1624</v>
      </c>
      <c r="AA13" t="n">
        <v>3000</v>
      </c>
      <c r="AB13" t="n">
        <v>0</v>
      </c>
      <c r="AC13" t="inlineStr">
        <is>
          <t>missile</t>
        </is>
      </c>
      <c r="AD13" t="n">
        <v>804</v>
      </c>
      <c r="AE13" t="n">
        <v>1</v>
      </c>
      <c r="AF13" t="n">
        <v>15</v>
      </c>
      <c r="AG13" t="inlineStr">
        <is>
          <t>normal</t>
        </is>
      </c>
      <c r="AH13" t="inlineStr">
        <is>
          <t>hhou</t>
        </is>
      </c>
      <c r="AI13" t="inlineStr">
        <is>
          <t>A047,A02Z,ACbh,A028,Afra</t>
        </is>
      </c>
      <c r="AJ13" t="inlineStr">
        <is>
          <t>U pgrade to Impervious Armor</t>
        </is>
      </c>
      <c r="AN13" t="n">
        <v>1624</v>
      </c>
      <c r="AO13" t="n">
        <v>5.5</v>
      </c>
      <c r="AP13">
        <f>AN13*AO13</f>
        <v/>
      </c>
      <c r="AQ13">
        <f>IF(D13=0,"",AV13/D13)</f>
        <v/>
      </c>
      <c r="AR13">
        <f>(N13/725)^2</f>
        <v/>
      </c>
      <c r="AS13">
        <f>IF(D13=0,"",AQ13*AR13)</f>
        <v/>
      </c>
      <c r="AT13" t="n">
        <v>94</v>
      </c>
      <c r="AV13">
        <f>AP13+N(AT13)+N(AU13)</f>
        <v/>
      </c>
      <c r="AW13">
        <f>IF(D13=0,"",AQ13*(N13/725))</f>
        <v/>
      </c>
      <c r="AX13" t="inlineStr">
        <is>
          <t>basic attack</t>
        </is>
      </c>
    </row>
    <row r="14">
      <c r="A14" t="inlineStr">
        <is>
          <t>General Ninpou</t>
        </is>
      </c>
      <c r="B14" t="inlineStr">
        <is>
          <t>h00N</t>
        </is>
      </c>
      <c r="C14" t="n">
        <v>1</v>
      </c>
      <c r="D14" t="n">
        <v>390</v>
      </c>
      <c r="E14" t="n">
        <v>0</v>
      </c>
      <c r="H14" t="inlineStr">
        <is>
          <t>Life Boon (AEtq); Frost I (Afra); Versatile Critical Strike I (A004)</t>
        </is>
      </c>
      <c r="I14" t="inlineStr">
        <is>
          <t>air,enemies,ground,nonancient</t>
        </is>
      </c>
      <c r="J14" t="n">
        <v>800</v>
      </c>
      <c r="K14" t="n">
        <v>815</v>
      </c>
      <c r="L14" t="n">
        <v>807.5</v>
      </c>
      <c r="M14" t="n">
        <v>0.25</v>
      </c>
      <c r="N14" t="n">
        <v>125</v>
      </c>
      <c r="P14" t="n">
        <v>3230</v>
      </c>
      <c r="Z14" t="n">
        <v>3</v>
      </c>
      <c r="AA14" t="n">
        <v>3000</v>
      </c>
      <c r="AB14" t="n">
        <v>0</v>
      </c>
      <c r="AC14" t="inlineStr">
        <is>
          <t>missile</t>
        </is>
      </c>
      <c r="AD14" t="n">
        <v>799</v>
      </c>
      <c r="AE14" t="n">
        <v>1</v>
      </c>
      <c r="AF14" t="n">
        <v>16</v>
      </c>
      <c r="AG14" t="inlineStr">
        <is>
          <t>normal</t>
        </is>
      </c>
      <c r="AH14" t="inlineStr">
        <is>
          <t>hhou</t>
        </is>
      </c>
      <c r="AI14" t="inlineStr">
        <is>
          <t>AEtq,A028,Afra,A004</t>
        </is>
      </c>
      <c r="AJ14" t="inlineStr">
        <is>
          <t>Build General Ninpou ( F )</t>
        </is>
      </c>
      <c r="AN14" t="n">
        <v>3230</v>
      </c>
      <c r="AO14" t="n">
        <v>1.52</v>
      </c>
      <c r="AP14">
        <f>AN14*AO14</f>
        <v/>
      </c>
      <c r="AQ14">
        <f>IF(D14=0,"",AV14/D14)</f>
        <v/>
      </c>
      <c r="AR14">
        <f>(N14/725)^2</f>
        <v/>
      </c>
      <c r="AS14">
        <f>IF(D14=0,"",AQ14*AR14)</f>
        <v/>
      </c>
      <c r="AV14">
        <f>AP14+N(AT14)+N(AU14)</f>
        <v/>
      </c>
      <c r="AW14">
        <f>IF(D14=0,"",AQ14*(N14/725))</f>
        <v/>
      </c>
      <c r="AX14" t="inlineStr">
        <is>
          <t>basic attack</t>
        </is>
      </c>
    </row>
    <row r="15">
      <c r="A15" t="inlineStr">
        <is>
          <t>Myrkridon Trow</t>
        </is>
      </c>
      <c r="B15" t="inlineStr">
        <is>
          <t>h01X</t>
        </is>
      </c>
      <c r="C15" t="n">
        <v>1</v>
      </c>
      <c r="D15" t="n">
        <v>215</v>
      </c>
      <c r="E15" t="n">
        <v>0</v>
      </c>
      <c r="G15" t="inlineStr">
        <is>
          <t>Insurrectionist Trow</t>
        </is>
      </c>
      <c r="H15" t="inlineStr">
        <is>
          <t>Bash I (ANbh); Boss Assassin I (A03D); Slow Poison I (Aspo)</t>
        </is>
      </c>
      <c r="I15" t="inlineStr">
        <is>
          <t>air,enemies,ground,nonancient</t>
        </is>
      </c>
      <c r="J15" t="n">
        <v>350</v>
      </c>
      <c r="K15" t="n">
        <v>353</v>
      </c>
      <c r="L15" t="n">
        <v>351.5</v>
      </c>
      <c r="M15" t="n">
        <v>0.5</v>
      </c>
      <c r="N15" t="n">
        <v>125</v>
      </c>
      <c r="P15" t="n">
        <v>703</v>
      </c>
      <c r="Z15" t="n">
        <v>2</v>
      </c>
      <c r="AA15" t="n">
        <v>1750</v>
      </c>
      <c r="AB15" t="n">
        <v>0</v>
      </c>
      <c r="AC15" t="inlineStr">
        <is>
          <t>normal</t>
        </is>
      </c>
      <c r="AD15" t="n">
        <v>349</v>
      </c>
      <c r="AE15" t="n">
        <v>1</v>
      </c>
      <c r="AF15" t="n">
        <v>4</v>
      </c>
      <c r="AG15" t="inlineStr">
        <is>
          <t>normal</t>
        </is>
      </c>
      <c r="AH15" t="inlineStr">
        <is>
          <t>hhou</t>
        </is>
      </c>
      <c r="AI15" t="inlineStr">
        <is>
          <t>ANbh,A03D,A028,Aspo</t>
        </is>
      </c>
      <c r="AJ15" t="inlineStr">
        <is>
          <t>Build Myrkridon Trow ( Z )</t>
        </is>
      </c>
      <c r="AN15" t="n">
        <v>703</v>
      </c>
      <c r="AO15" t="n">
        <v>1</v>
      </c>
      <c r="AP15">
        <f>AN15*AO15</f>
        <v/>
      </c>
      <c r="AQ15">
        <f>IF(D15=0,"",AV15/D15)</f>
        <v/>
      </c>
      <c r="AR15">
        <f>(N15/725)^2</f>
        <v/>
      </c>
      <c r="AS15">
        <f>IF(D15=0,"",AQ15*AR15)</f>
        <v/>
      </c>
      <c r="AT15" t="n">
        <v>20</v>
      </c>
      <c r="AU15" t="n">
        <v>4</v>
      </c>
      <c r="AV15">
        <f>AP15+N(AT15)+N(AU15)</f>
        <v/>
      </c>
      <c r="AW15">
        <f>IF(D15=0,"",AQ15*(N15/725))</f>
        <v/>
      </c>
      <c r="AX15" t="inlineStr">
        <is>
          <t>basic attack</t>
        </is>
      </c>
    </row>
    <row r="16">
      <c r="A16" t="inlineStr">
        <is>
          <t>Insurrectionist Trow</t>
        </is>
      </c>
      <c r="B16" t="inlineStr">
        <is>
          <t>h01W</t>
        </is>
      </c>
      <c r="C16" t="n">
        <v>2</v>
      </c>
      <c r="D16" t="n">
        <v>280</v>
      </c>
      <c r="E16" t="n">
        <v>0</v>
      </c>
      <c r="F16" t="inlineStr">
        <is>
          <t>Myrkridon Trow</t>
        </is>
      </c>
      <c r="H16" t="inlineStr">
        <is>
          <t>Bash I (ANbh); Cleaving Attack (A007)</t>
        </is>
      </c>
      <c r="I16" t="inlineStr">
        <is>
          <t>air,enemies,ground,nonancient</t>
        </is>
      </c>
      <c r="J16" t="n">
        <v>835</v>
      </c>
      <c r="K16" t="n">
        <v>840</v>
      </c>
      <c r="L16" t="n">
        <v>837.5</v>
      </c>
      <c r="M16" t="n">
        <v>0.4</v>
      </c>
      <c r="N16" t="n">
        <v>125</v>
      </c>
      <c r="O16" t="inlineStr">
        <is>
          <t>siege</t>
        </is>
      </c>
      <c r="P16" t="n">
        <v>2093.7</v>
      </c>
      <c r="X16" t="inlineStr">
        <is>
          <t>air,enemies,ground,nonancient</t>
        </is>
      </c>
      <c r="Z16" t="n">
        <v>3</v>
      </c>
      <c r="AA16" t="n">
        <v>2000</v>
      </c>
      <c r="AB16" t="n">
        <v>0</v>
      </c>
      <c r="AC16" t="inlineStr">
        <is>
          <t>msplash</t>
        </is>
      </c>
      <c r="AD16" t="n">
        <v>834</v>
      </c>
      <c r="AE16" t="n">
        <v>1</v>
      </c>
      <c r="AF16" t="n">
        <v>6</v>
      </c>
      <c r="AG16" t="inlineStr">
        <is>
          <t>siege</t>
        </is>
      </c>
      <c r="AH16" t="inlineStr">
        <is>
          <t>hhou</t>
        </is>
      </c>
      <c r="AI16" t="inlineStr">
        <is>
          <t>ANbh,A028,A007</t>
        </is>
      </c>
      <c r="AJ16" t="inlineStr">
        <is>
          <t>U pgrade to Insurrectionist Trow</t>
        </is>
      </c>
      <c r="AN16" t="n">
        <v>2093.7</v>
      </c>
      <c r="AO16" t="n">
        <v>1</v>
      </c>
      <c r="AP16">
        <f>AN16*AO16</f>
        <v/>
      </c>
      <c r="AQ16">
        <f>IF(D16=0,"",AV16/D16)</f>
        <v/>
      </c>
      <c r="AR16">
        <f>(N16/725)^2</f>
        <v/>
      </c>
      <c r="AS16">
        <f>IF(D16=0,"",AQ16*AR16)</f>
        <v/>
      </c>
      <c r="AT16" t="n">
        <v>25</v>
      </c>
      <c r="AV16">
        <f>AP16+N(AT16)+N(AU16)</f>
        <v/>
      </c>
      <c r="AW16">
        <f>IF(D16=0,"",AQ16*(N16/725))</f>
        <v/>
      </c>
      <c r="AX16" t="inlineStr">
        <is>
          <t>basic attack</t>
        </is>
      </c>
    </row>
    <row r="17">
      <c r="A17" t="inlineStr">
        <is>
          <t>War Beast</t>
        </is>
      </c>
      <c r="B17" t="inlineStr">
        <is>
          <t>h01V</t>
        </is>
      </c>
      <c r="C17" t="n">
        <v>1</v>
      </c>
      <c r="D17" t="n">
        <v>275</v>
      </c>
      <c r="E17" t="n">
        <v>0</v>
      </c>
      <c r="G17" t="inlineStr">
        <is>
          <t>Toxic Assassin</t>
        </is>
      </c>
      <c r="H17" t="inlineStr">
        <is>
          <t>Air Critical Strike I (A005); Slow Poison I (Aspo)</t>
        </is>
      </c>
      <c r="I17" t="inlineStr">
        <is>
          <t>air,enemies,ground,nonancient</t>
        </is>
      </c>
      <c r="J17" t="n">
        <v>500</v>
      </c>
      <c r="K17" t="n">
        <v>510</v>
      </c>
      <c r="L17" t="n">
        <v>505</v>
      </c>
      <c r="M17" t="n">
        <v>0.35</v>
      </c>
      <c r="N17" t="n">
        <v>125</v>
      </c>
      <c r="P17" t="n">
        <v>1442.9</v>
      </c>
      <c r="Z17" t="n">
        <v>3</v>
      </c>
      <c r="AA17" t="n">
        <v>2250</v>
      </c>
      <c r="AB17" t="n">
        <v>0</v>
      </c>
      <c r="AC17" t="inlineStr">
        <is>
          <t>missile</t>
        </is>
      </c>
      <c r="AD17" t="n">
        <v>499</v>
      </c>
      <c r="AE17" t="n">
        <v>1</v>
      </c>
      <c r="AF17" t="n">
        <v>11</v>
      </c>
      <c r="AG17" t="inlineStr">
        <is>
          <t>normal</t>
        </is>
      </c>
      <c r="AH17" t="inlineStr">
        <is>
          <t>hhou</t>
        </is>
      </c>
      <c r="AI17" t="inlineStr">
        <is>
          <t>A028,A005,Aspo</t>
        </is>
      </c>
      <c r="AJ17" t="inlineStr">
        <is>
          <t>Build War Beast ( X )</t>
        </is>
      </c>
      <c r="AN17" t="n">
        <v>1442.9</v>
      </c>
      <c r="AO17" t="n">
        <v>1.25</v>
      </c>
      <c r="AP17">
        <f>AN17*AO17</f>
        <v/>
      </c>
      <c r="AQ17">
        <f>IF(D17=0,"",AV17/D17)</f>
        <v/>
      </c>
      <c r="AR17">
        <f>(N17/725)^2</f>
        <v/>
      </c>
      <c r="AS17">
        <f>IF(D17=0,"",AQ17*AR17)</f>
        <v/>
      </c>
      <c r="AU17" t="n">
        <v>4</v>
      </c>
      <c r="AV17">
        <f>AP17+N(AT17)+N(AU17)</f>
        <v/>
      </c>
      <c r="AW17">
        <f>IF(D17=0,"",AQ17*(N17/725))</f>
        <v/>
      </c>
      <c r="AX17" t="inlineStr">
        <is>
          <t>basic attack</t>
        </is>
      </c>
    </row>
    <row r="18">
      <c r="A18" t="inlineStr">
        <is>
          <t>Toxic Assassin</t>
        </is>
      </c>
      <c r="B18" t="inlineStr">
        <is>
          <t>h01Y</t>
        </is>
      </c>
      <c r="C18" t="n">
        <v>2</v>
      </c>
      <c r="D18" t="n">
        <v>350</v>
      </c>
      <c r="E18" t="n">
        <v>0</v>
      </c>
      <c r="F18" t="inlineStr">
        <is>
          <t>War Beast</t>
        </is>
      </c>
      <c r="H18" t="inlineStr">
        <is>
          <t>Air Critical Strike II (A006); Slow Poison III (A00T)</t>
        </is>
      </c>
      <c r="I18" t="inlineStr">
        <is>
          <t>enemies,ground,nonancient</t>
        </is>
      </c>
      <c r="J18" t="n">
        <v>246</v>
      </c>
      <c r="K18" t="n">
        <v>251</v>
      </c>
      <c r="L18" t="n">
        <v>248.5</v>
      </c>
      <c r="M18" t="n">
        <v>0.45</v>
      </c>
      <c r="N18" t="n">
        <v>500</v>
      </c>
      <c r="P18" t="n">
        <v>552.2</v>
      </c>
      <c r="Q18" t="n">
        <v>487</v>
      </c>
      <c r="R18" t="n">
        <v>492</v>
      </c>
      <c r="S18" t="n">
        <v>489.5</v>
      </c>
      <c r="T18" t="n">
        <v>0.5</v>
      </c>
      <c r="U18" t="n">
        <v>500</v>
      </c>
      <c r="V18" t="inlineStr">
        <is>
          <t>magic</t>
        </is>
      </c>
      <c r="W18" t="n">
        <v>979</v>
      </c>
      <c r="Z18" t="n">
        <v>4</v>
      </c>
      <c r="AA18" t="n">
        <v>2500</v>
      </c>
      <c r="AB18" t="n">
        <v>0</v>
      </c>
      <c r="AC18" t="inlineStr">
        <is>
          <t>normal</t>
        </is>
      </c>
      <c r="AD18" t="n">
        <v>245</v>
      </c>
      <c r="AE18" t="n">
        <v>1</v>
      </c>
      <c r="AF18" t="n">
        <v>6</v>
      </c>
      <c r="AG18" t="inlineStr">
        <is>
          <t>normal</t>
        </is>
      </c>
      <c r="AH18" t="inlineStr">
        <is>
          <t>hhou</t>
        </is>
      </c>
      <c r="AI18" t="inlineStr">
        <is>
          <t>A028,A006,A00T</t>
        </is>
      </c>
      <c r="AJ18" t="inlineStr">
        <is>
          <t>U pgrade to Toxic Assassin</t>
        </is>
      </c>
      <c r="AK18" t="n">
        <v>486</v>
      </c>
      <c r="AL18" t="n">
        <v>1</v>
      </c>
      <c r="AM18" t="n">
        <v>6</v>
      </c>
      <c r="AN18" t="n">
        <v>552.2</v>
      </c>
      <c r="AO18" t="n">
        <v>2.5</v>
      </c>
      <c r="AP18">
        <f>AN18*AO18</f>
        <v/>
      </c>
      <c r="AQ18">
        <f>IF(D18=0,"",AV18/D18)</f>
        <v/>
      </c>
      <c r="AR18">
        <f>(N18/725)^2</f>
        <v/>
      </c>
      <c r="AS18">
        <f>IF(D18=0,"",AQ18*AR18)</f>
        <v/>
      </c>
      <c r="AU18" t="n">
        <v>250</v>
      </c>
      <c r="AV18">
        <f>AP18+N(AT18)+N(AU18)</f>
        <v/>
      </c>
      <c r="AW18">
        <f>IF(D18=0,"",AQ18*(N18/725))</f>
        <v/>
      </c>
      <c r="AX18" t="inlineStr">
        <is>
          <t>basic attack</t>
        </is>
      </c>
    </row>
    <row r="19">
      <c r="A19" t="inlineStr">
        <is>
          <t>Mercurial Predator</t>
        </is>
      </c>
      <c r="B19" t="inlineStr">
        <is>
          <t>h020</t>
        </is>
      </c>
      <c r="C19" t="n">
        <v>1</v>
      </c>
      <c r="D19" t="n">
        <v>550</v>
      </c>
      <c r="E19" t="n">
        <v>1</v>
      </c>
      <c r="G19" t="inlineStr">
        <is>
          <t>Unrivaled Destroyer</t>
        </is>
      </c>
      <c r="H19" t="inlineStr">
        <is>
          <t>Air Deficiency (A009); Hunter's Fervor (ACcl)</t>
        </is>
      </c>
      <c r="I19" t="inlineStr">
        <is>
          <t>air,enemies,ground,nonancient</t>
        </is>
      </c>
      <c r="J19" t="n">
        <v>2110</v>
      </c>
      <c r="K19" t="n">
        <v>2110</v>
      </c>
      <c r="L19" t="n">
        <v>2110</v>
      </c>
      <c r="M19" t="n">
        <v>0.4</v>
      </c>
      <c r="N19" t="n">
        <v>350</v>
      </c>
      <c r="P19" t="n">
        <v>5275</v>
      </c>
      <c r="AA19" t="n">
        <v>3000</v>
      </c>
      <c r="AB19" t="n">
        <v>0</v>
      </c>
      <c r="AC19" t="inlineStr">
        <is>
          <t>missile</t>
        </is>
      </c>
      <c r="AD19" t="n">
        <v>2109</v>
      </c>
      <c r="AE19" t="n">
        <v>1</v>
      </c>
      <c r="AF19" t="n">
        <v>1</v>
      </c>
      <c r="AG19" t="inlineStr">
        <is>
          <t>normal</t>
        </is>
      </c>
      <c r="AH19" t="inlineStr">
        <is>
          <t>hhou</t>
        </is>
      </c>
      <c r="AI19" t="inlineStr">
        <is>
          <t>A028,A009,ACcl</t>
        </is>
      </c>
      <c r="AJ19" t="inlineStr">
        <is>
          <t>Build Mercurial Predator ( C )</t>
        </is>
      </c>
      <c r="AN19" t="n">
        <v>5275</v>
      </c>
      <c r="AO19" t="n">
        <v>1</v>
      </c>
      <c r="AP19">
        <f>AN19*AO19</f>
        <v/>
      </c>
      <c r="AQ19">
        <f>IF(D19=0,"",AV19/D19)</f>
        <v/>
      </c>
      <c r="AR19">
        <f>(N19/725)^2</f>
        <v/>
      </c>
      <c r="AS19">
        <f>IF(D19=0,"",AQ19*AR19)</f>
        <v/>
      </c>
      <c r="AV19">
        <f>AP19+N(AT19)+N(AU19)</f>
        <v/>
      </c>
      <c r="AW19">
        <f>IF(D19=0,"",AQ19*(N19/725))</f>
        <v/>
      </c>
      <c r="AX19" t="inlineStr">
        <is>
          <t>basic attack</t>
        </is>
      </c>
    </row>
    <row r="20">
      <c r="A20" t="inlineStr">
        <is>
          <t>Unrivaled Destroyer</t>
        </is>
      </c>
      <c r="B20" t="inlineStr">
        <is>
          <t>h004</t>
        </is>
      </c>
      <c r="C20" t="n">
        <v>2</v>
      </c>
      <c r="D20" t="n">
        <v>750</v>
      </c>
      <c r="E20" t="n">
        <v>1</v>
      </c>
      <c r="F20" t="inlineStr">
        <is>
          <t>Mercurial Predator</t>
        </is>
      </c>
      <c r="H20" t="inlineStr">
        <is>
          <t>Hunter's Fervor (ACcl); Ground Critical Strike II (A00A)</t>
        </is>
      </c>
      <c r="I20" t="inlineStr">
        <is>
          <t>air,enemies,ground,nonancient</t>
        </is>
      </c>
      <c r="J20" t="n">
        <v>4000</v>
      </c>
      <c r="K20" t="n">
        <v>4015</v>
      </c>
      <c r="L20" t="n">
        <v>4007.5</v>
      </c>
      <c r="M20" t="n">
        <v>0.45</v>
      </c>
      <c r="N20" t="n">
        <v>350</v>
      </c>
      <c r="P20" t="n">
        <v>8905.6</v>
      </c>
      <c r="Z20" t="n">
        <v>7</v>
      </c>
      <c r="AA20" t="n">
        <v>3500</v>
      </c>
      <c r="AB20" t="n">
        <v>0</v>
      </c>
      <c r="AC20" t="inlineStr">
        <is>
          <t>missile</t>
        </is>
      </c>
      <c r="AD20" t="n">
        <v>3999</v>
      </c>
      <c r="AE20" t="n">
        <v>1</v>
      </c>
      <c r="AF20" t="n">
        <v>16</v>
      </c>
      <c r="AG20" t="inlineStr">
        <is>
          <t>normal</t>
        </is>
      </c>
      <c r="AH20" t="inlineStr">
        <is>
          <t>hhou</t>
        </is>
      </c>
      <c r="AI20" t="inlineStr">
        <is>
          <t>ACcl,A028,A00A</t>
        </is>
      </c>
      <c r="AJ20" t="inlineStr">
        <is>
          <t>U pgrade to Unrivaled Destroyer</t>
        </is>
      </c>
      <c r="AN20" t="n">
        <v>8905.6</v>
      </c>
      <c r="AO20" t="n">
        <v>1</v>
      </c>
      <c r="AP20">
        <f>AN20*AO20</f>
        <v/>
      </c>
      <c r="AQ20">
        <f>IF(D20=0,"",AV20/D20)</f>
        <v/>
      </c>
      <c r="AR20">
        <f>(N20/725)^2</f>
        <v/>
      </c>
      <c r="AS20">
        <f>IF(D20=0,"",AQ20*AR20)</f>
        <v/>
      </c>
      <c r="AV20">
        <f>AP20+N(AT20)+N(AU20)</f>
        <v/>
      </c>
      <c r="AW20">
        <f>IF(D20=0,"",AQ20*(N20/725))</f>
        <v/>
      </c>
      <c r="AX20" t="inlineStr">
        <is>
          <t>basic attack</t>
        </is>
      </c>
    </row>
  </sheetData>
  <autoFilter ref="A1:AX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9" customWidth="1" min="3" max="3"/>
    <col width="48" customWidth="1" min="4" max="4"/>
  </cols>
  <sheetData>
    <row r="1">
      <c r="A1" s="1" t="inlineStr">
        <is>
          <t>item_id</t>
        </is>
      </c>
      <c r="B1" s="1" t="inlineStr">
        <is>
          <t>name</t>
        </is>
      </c>
      <c r="C1" s="1" t="inlineStr">
        <is>
          <t>gold</t>
        </is>
      </c>
      <c r="D1" s="1" t="inlineStr">
        <is>
          <t>note</t>
        </is>
      </c>
    </row>
    <row r="2">
      <c r="A2" t="inlineStr">
        <is>
          <t>I006</t>
        </is>
      </c>
      <c r="B2" t="inlineStr">
        <is>
          <t>2 Gold Coins</t>
        </is>
      </c>
      <c r="C2" t="n">
        <v>2</v>
      </c>
    </row>
    <row r="3">
      <c r="A3" t="inlineStr">
        <is>
          <t>gold</t>
        </is>
      </c>
      <c r="B3" t="inlineStr">
        <is>
          <t>3 Gold Coins</t>
        </is>
      </c>
      <c r="C3" t="n">
        <v>3</v>
      </c>
    </row>
    <row r="4">
      <c r="A4" t="inlineStr">
        <is>
          <t>I00E</t>
        </is>
      </c>
      <c r="B4" t="inlineStr">
        <is>
          <t>3 Gold Coins</t>
        </is>
      </c>
      <c r="C4" t="n">
        <v>3</v>
      </c>
    </row>
    <row r="5">
      <c r="A5" t="inlineStr">
        <is>
          <t>I00J</t>
        </is>
      </c>
      <c r="B5" t="inlineStr">
        <is>
          <t>4 Gold Coins</t>
        </is>
      </c>
      <c r="C5" t="n">
        <v>4</v>
      </c>
    </row>
    <row r="6">
      <c r="A6" t="inlineStr">
        <is>
          <t>I001</t>
        </is>
      </c>
      <c r="B6" t="inlineStr">
        <is>
          <t>5 Gold Coins</t>
        </is>
      </c>
      <c r="C6" t="n">
        <v>5</v>
      </c>
    </row>
    <row r="7">
      <c r="A7" t="inlineStr">
        <is>
          <t>I00I</t>
        </is>
      </c>
      <c r="B7" t="inlineStr">
        <is>
          <t>6 Gold Coins</t>
        </is>
      </c>
      <c r="C7" t="n">
        <v>6</v>
      </c>
    </row>
    <row r="8">
      <c r="A8" t="inlineStr">
        <is>
          <t>I000</t>
        </is>
      </c>
      <c r="B8" t="inlineStr">
        <is>
          <t>7 Gold Coins</t>
        </is>
      </c>
      <c r="C8" t="n">
        <v>7</v>
      </c>
    </row>
    <row r="9">
      <c r="A9" t="inlineStr">
        <is>
          <t>tst2</t>
        </is>
      </c>
      <c r="B9" t="inlineStr">
        <is>
          <t>10 Gold Coins</t>
        </is>
      </c>
      <c r="C9" t="n">
        <v>10</v>
      </c>
    </row>
    <row r="10">
      <c r="A10" t="inlineStr">
        <is>
          <t>I003</t>
        </is>
      </c>
      <c r="B10" t="inlineStr">
        <is>
          <t>10 Gold Coins</t>
        </is>
      </c>
      <c r="C10" t="n">
        <v>10</v>
      </c>
    </row>
    <row r="11">
      <c r="A11" t="inlineStr">
        <is>
          <t>I00L</t>
        </is>
      </c>
      <c r="B11" t="inlineStr">
        <is>
          <t>10 Gold Coins?</t>
        </is>
      </c>
      <c r="C11" t="n">
        <v>10</v>
      </c>
      <c r="D11" t="inlineStr">
        <is>
          <t>value uncertain — the map's own name ends in "?"</t>
        </is>
      </c>
    </row>
    <row r="12">
      <c r="A12" t="inlineStr">
        <is>
          <t>I002</t>
        </is>
      </c>
      <c r="B12" t="inlineStr">
        <is>
          <t>15 Gold Coins</t>
        </is>
      </c>
      <c r="C12" t="n">
        <v>15</v>
      </c>
    </row>
    <row r="13">
      <c r="A13" t="inlineStr">
        <is>
          <t>I005</t>
        </is>
      </c>
      <c r="B13" t="inlineStr">
        <is>
          <t>30 Gold Coins</t>
        </is>
      </c>
      <c r="C13" t="n">
        <v>30</v>
      </c>
    </row>
    <row r="14">
      <c r="A14" t="inlineStr">
        <is>
          <t>pclr</t>
        </is>
      </c>
      <c r="B14" t="inlineStr">
        <is>
          <t>Auto Healing Salve</t>
        </is>
      </c>
    </row>
    <row r="15">
      <c r="A15" t="inlineStr">
        <is>
          <t>rde1</t>
        </is>
      </c>
      <c r="B15" t="inlineStr">
        <is>
          <t>Chain Mail of Protection +20</t>
        </is>
      </c>
    </row>
    <row r="16">
      <c r="A16" t="inlineStr">
        <is>
          <t>I00K</t>
        </is>
      </c>
      <c r="B16" t="inlineStr">
        <is>
          <t>EVIL COIN OF DEATH</t>
        </is>
      </c>
      <c r="D16" t="inlineStr">
        <is>
          <t>TRAP — hard mode only, not a coin</t>
        </is>
      </c>
    </row>
    <row r="17">
      <c r="A17" t="inlineStr">
        <is>
          <t>I00H</t>
        </is>
      </c>
      <c r="B17" t="inlineStr">
        <is>
          <t>Hardened Sap</t>
        </is>
      </c>
    </row>
    <row r="18">
      <c r="A18" t="inlineStr">
        <is>
          <t>I004</t>
        </is>
      </c>
      <c r="B18" t="inlineStr">
        <is>
          <t>Stupiternity Branch I</t>
        </is>
      </c>
    </row>
    <row r="19">
      <c r="A19" t="inlineStr">
        <is>
          <t>I00F</t>
        </is>
      </c>
      <c r="B19" t="inlineStr">
        <is>
          <t>Stupiternity Branch II</t>
        </is>
      </c>
    </row>
    <row r="20">
      <c r="A20" t="inlineStr">
        <is>
          <t>I00G</t>
        </is>
      </c>
      <c r="B20" t="inlineStr">
        <is>
          <t>Stupiternity Branch III</t>
        </is>
      </c>
    </row>
    <row r="21">
      <c r="A21" t="inlineStr">
        <is>
          <t>afac</t>
        </is>
      </c>
      <c r="B21" t="inlineStr">
        <is>
          <t>The Heart of Dr. Achir</t>
        </is>
      </c>
    </row>
    <row r="22">
      <c r="A22" t="inlineStr">
        <is>
          <t>ratc</t>
        </is>
      </c>
      <c r="B22" t="inlineStr">
        <is>
          <t>Thor's Hammer</t>
        </is>
      </c>
    </row>
  </sheetData>
  <autoFilter ref="A1:D2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1" customWidth="1" min="3" max="3"/>
    <col width="15" customWidth="1" min="4" max="4"/>
    <col width="14" customWidth="1" min="5" max="5"/>
    <col width="9" customWidth="1" min="6" max="6"/>
    <col width="48" customWidth="1" min="7" max="7"/>
  </cols>
  <sheetData>
    <row r="1">
      <c r="A1" s="1" t="inlineStr">
        <is>
          <t>game</t>
        </is>
      </c>
      <c r="B1" s="1" t="inlineStr">
        <is>
          <t>internal</t>
        </is>
      </c>
      <c r="C1" s="1" t="inlineStr">
        <is>
          <t>wave_band</t>
        </is>
      </c>
      <c r="D1" s="1" t="inlineStr">
        <is>
          <t>measured_gold</t>
        </is>
      </c>
      <c r="E1" s="1" t="inlineStr">
        <is>
          <t>ceiling_gold</t>
        </is>
      </c>
      <c r="F1" s="1" t="inlineStr">
        <is>
          <t>players</t>
        </is>
      </c>
      <c r="G1" s="1" t="inlineStr">
        <is>
          <t>note</t>
        </is>
      </c>
    </row>
    <row r="2">
      <c r="A2" t="inlineStr">
        <is>
          <t>Frothing Phobia</t>
        </is>
      </c>
      <c r="B2" t="inlineStr">
        <is>
          <t>Spider</t>
        </is>
      </c>
      <c r="C2" t="inlineStr">
        <is>
          <t>early</t>
        </is>
      </c>
      <c r="D2" t="n">
        <v>30</v>
      </c>
      <c r="F2" t="inlineStr">
        <is>
          <t>solo</t>
        </is>
      </c>
      <c r="G2" t="inlineStr">
        <is>
          <t>survival ticks only at this band</t>
        </is>
      </c>
    </row>
    <row r="3">
      <c r="A3" t="inlineStr">
        <is>
          <t>Light the Fuse</t>
        </is>
      </c>
      <c r="B3" t="inlineStr">
        <is>
          <t>Warfare</t>
        </is>
      </c>
      <c r="C3" t="inlineStr">
        <is>
          <t>early</t>
        </is>
      </c>
      <c r="D3" t="n">
        <v>30</v>
      </c>
      <c r="F3" t="inlineStr">
        <is>
          <t>solo</t>
        </is>
      </c>
      <c r="G3" t="inlineStr">
        <is>
          <t>~10 kills at Insane in the Membrane +3</t>
        </is>
      </c>
    </row>
    <row r="4">
      <c r="A4" t="inlineStr">
        <is>
          <t>Ghostbusters</t>
        </is>
      </c>
      <c r="B4" t="inlineStr">
        <is>
          <t>Ghost</t>
        </is>
      </c>
      <c r="C4" t="inlineStr">
        <is>
          <t>early</t>
        </is>
      </c>
      <c r="D4" t="n">
        <v>40</v>
      </c>
      <c r="F4" t="inlineStr">
        <is>
          <t>solo</t>
        </is>
      </c>
      <c r="G4" t="inlineStr">
        <is>
          <t>25 ghost + 15 clean</t>
        </is>
      </c>
    </row>
    <row r="5">
      <c r="A5" t="inlineStr">
        <is>
          <t>Excavation Site</t>
        </is>
      </c>
      <c r="B5" t="inlineStr">
        <is>
          <t>Excavate</t>
        </is>
      </c>
      <c r="C5" t="inlineStr">
        <is>
          <t>early</t>
        </is>
      </c>
      <c r="D5" t="n">
        <v>50</v>
      </c>
      <c r="F5" t="inlineStr">
        <is>
          <t>solo</t>
        </is>
      </c>
    </row>
    <row r="6">
      <c r="A6" t="inlineStr">
        <is>
          <t>The Sky is Falling</t>
        </is>
      </c>
      <c r="B6" t="inlineStr">
        <is>
          <t>Hide</t>
        </is>
      </c>
      <c r="C6" t="inlineStr">
        <is>
          <t>early</t>
        </is>
      </c>
      <c r="D6" t="n">
        <v>50</v>
      </c>
      <c r="E6" t="n">
        <v>60</v>
      </c>
      <c r="F6" t="inlineStr">
        <is>
          <t>solo</t>
        </is>
      </c>
      <c r="G6" t="inlineStr">
        <is>
          <t>centre tile pays +1 per tick</t>
        </is>
      </c>
    </row>
    <row r="7">
      <c r="A7" t="inlineStr">
        <is>
          <t>Crispy Zergling</t>
        </is>
      </c>
      <c r="B7" t="inlineStr">
        <is>
          <t>Zerg</t>
        </is>
      </c>
      <c r="C7" t="inlineStr">
        <is>
          <t>early</t>
        </is>
      </c>
      <c r="D7" t="n">
        <v>30</v>
      </c>
      <c r="F7" t="inlineStr">
        <is>
          <t>solo</t>
        </is>
      </c>
      <c r="G7" t="inlineStr">
        <is>
          <t>spawns 1+N coins per event</t>
        </is>
      </c>
    </row>
    <row r="8">
      <c r="A8" t="inlineStr">
        <is>
          <t>Crispy Zergling</t>
        </is>
      </c>
      <c r="B8" t="inlineStr">
        <is>
          <t>Zerg</t>
        </is>
      </c>
      <c r="C8" t="inlineStr">
        <is>
          <t>early</t>
        </is>
      </c>
      <c r="D8" t="n">
        <v>60</v>
      </c>
      <c r="F8" t="inlineStr">
        <is>
          <t>duo</t>
        </is>
      </c>
      <c r="G8" t="inlineStr">
        <is>
          <t>the same game with a second player</t>
        </is>
      </c>
    </row>
    <row r="9">
      <c r="A9" t="inlineStr">
        <is>
          <t>300 Blind Mice</t>
        </is>
      </c>
      <c r="B9" t="inlineStr">
        <is>
          <t>Rat</t>
        </is>
      </c>
      <c r="C9" t="inlineStr">
        <is>
          <t>early</t>
        </is>
      </c>
      <c r="D9" t="n">
        <v>60</v>
      </c>
      <c r="F9" t="inlineStr">
        <is>
          <t>solo</t>
        </is>
      </c>
      <c r="G9" t="inlineStr">
        <is>
          <t>uncapped throughput game</t>
        </is>
      </c>
    </row>
    <row r="10">
      <c r="A10" t="inlineStr">
        <is>
          <t>Hungry Hungry Penguins</t>
        </is>
      </c>
      <c r="B10" t="inlineStr">
        <is>
          <t>Peng</t>
        </is>
      </c>
      <c r="C10" t="inlineStr">
        <is>
          <t>early</t>
        </is>
      </c>
      <c r="D10" t="n">
        <v>65</v>
      </c>
      <c r="E10" t="n">
        <v>70</v>
      </c>
      <c r="F10" t="inlineStr">
        <is>
          <t>solo</t>
        </is>
      </c>
      <c r="G10" t="inlineStr">
        <is>
          <t>UI under-reports the catfan by 5g</t>
        </is>
      </c>
    </row>
    <row r="11">
      <c r="A11" t="inlineStr">
        <is>
          <t>Stuff on Fire</t>
        </is>
      </c>
      <c r="B11" t="inlineStr">
        <is>
          <t>Stuff_on_Fire</t>
        </is>
      </c>
      <c r="C11" t="inlineStr">
        <is>
          <t>early</t>
        </is>
      </c>
      <c r="D11" t="n">
        <v>65</v>
      </c>
      <c r="F11" t="inlineStr">
        <is>
          <t>solo</t>
        </is>
      </c>
      <c r="G11" t="inlineStr">
        <is>
          <t>displayed 15 survival bonus actually pays 25, so ~75g real</t>
        </is>
      </c>
    </row>
    <row r="12">
      <c r="A12" t="inlineStr">
        <is>
          <t>Coin Grab Mania</t>
        </is>
      </c>
      <c r="B12" t="inlineStr">
        <is>
          <t>Treas</t>
        </is>
      </c>
      <c r="C12" t="inlineStr">
        <is>
          <t>mid</t>
        </is>
      </c>
      <c r="D12" t="n">
        <v>120</v>
      </c>
      <c r="F12" t="inlineStr">
        <is>
          <t>solo</t>
        </is>
      </c>
      <c r="G12" t="inlineStr">
        <is>
          <t>scripted at waves 9/19/29</t>
        </is>
      </c>
    </row>
    <row r="13">
      <c r="A13" t="inlineStr">
        <is>
          <t>Shell Hunters</t>
        </is>
      </c>
      <c r="B13" t="inlineStr">
        <is>
          <t>Turtle</t>
        </is>
      </c>
      <c r="C13" t="inlineStr">
        <is>
          <t>mid</t>
        </is>
      </c>
      <c r="D13" t="n">
        <v>60</v>
      </c>
      <c r="F13" t="inlineStr">
        <is>
          <t>solo</t>
        </is>
      </c>
      <c r="G13" t="inlineStr">
        <is>
          <t>misses the 3-player Adamantium and Platinum turtles</t>
        </is>
      </c>
    </row>
    <row r="14">
      <c r="A14" t="inlineStr">
        <is>
          <t>Tree Jacks</t>
        </is>
      </c>
      <c r="B14" t="inlineStr">
        <is>
          <t>Tree</t>
        </is>
      </c>
      <c r="C14" t="inlineStr">
        <is>
          <t>mid</t>
        </is>
      </c>
      <c r="D14" t="n">
        <v>60</v>
      </c>
      <c r="F14" t="inlineStr">
        <is>
          <t>solo</t>
        </is>
      </c>
      <c r="G14" t="inlineStr">
        <is>
          <t>chop 1g now vs bank lumber x3-5 at the end</t>
        </is>
      </c>
    </row>
    <row r="15">
      <c r="A15" t="inlineStr">
        <is>
          <t>Dragon Loot</t>
        </is>
      </c>
      <c r="B15" t="inlineStr">
        <is>
          <t>Dragon</t>
        </is>
      </c>
      <c r="C15" t="inlineStr">
        <is>
          <t>mid</t>
        </is>
      </c>
      <c r="D15" t="n">
        <v>70</v>
      </c>
      <c r="F15" t="inlineStr">
        <is>
          <t>solo</t>
        </is>
      </c>
      <c r="G15" t="inlineStr">
        <is>
          <t>hunt-then-be-hunted; swingy</t>
        </is>
      </c>
    </row>
    <row r="16">
      <c r="A16" t="inlineStr">
        <is>
          <t>The Obstacle Course</t>
        </is>
      </c>
      <c r="B16" t="inlineStr">
        <is>
          <t>OB</t>
        </is>
      </c>
      <c r="C16" t="n">
        <v>10</v>
      </c>
      <c r="D16" t="n">
        <v>70</v>
      </c>
      <c r="F16" t="inlineStr">
        <is>
          <t>solo</t>
        </is>
      </c>
      <c r="G16" t="inlineStr">
        <is>
          <t>scripted at wave 10; 35 per section + 35 flawless</t>
        </is>
      </c>
    </row>
    <row r="17">
      <c r="A17" t="inlineStr">
        <is>
          <t>Bombarding Squad</t>
        </is>
      </c>
      <c r="B17" t="inlineStr">
        <is>
          <t>Kill_Rein</t>
        </is>
      </c>
      <c r="C17" t="inlineStr">
        <is>
          <t>mid</t>
        </is>
      </c>
      <c r="D17" t="n">
        <v>70</v>
      </c>
      <c r="E17" t="n">
        <v>80</v>
      </c>
      <c r="F17" t="inlineStr">
        <is>
          <t>solo</t>
        </is>
      </c>
      <c r="G17" t="inlineStr">
        <is>
          <t>2 x cart +10 (All)</t>
        </is>
      </c>
    </row>
    <row r="18">
      <c r="A18" t="inlineStr">
        <is>
          <t>Micro Arena</t>
        </is>
      </c>
      <c r="B18" t="inlineStr">
        <is>
          <t>Micro</t>
        </is>
      </c>
      <c r="C18" t="n">
        <v>15</v>
      </c>
      <c r="D18" t="n">
        <v>72</v>
      </c>
      <c r="F18" t="inlineStr">
        <is>
          <t>solo</t>
        </is>
      </c>
      <c r="G18" t="inlineStr">
        <is>
          <t>scripted at wave 15; melee pays 2x ranged</t>
        </is>
      </c>
    </row>
    <row r="19">
      <c r="A19" t="inlineStr">
        <is>
          <t>Shrapnel</t>
        </is>
      </c>
      <c r="B19" t="inlineStr">
        <is>
          <t>Rock</t>
        </is>
      </c>
      <c r="C19" t="inlineStr">
        <is>
          <t>mid</t>
        </is>
      </c>
      <c r="D19" t="n">
        <v>90</v>
      </c>
      <c r="E19" t="n">
        <v>120</v>
      </c>
      <c r="F19" t="inlineStr">
        <is>
          <t>solo</t>
        </is>
      </c>
    </row>
    <row r="20">
      <c r="A20" t="inlineStr">
        <is>
          <t>Frothing Phobia</t>
        </is>
      </c>
      <c r="B20" t="inlineStr">
        <is>
          <t>Spider</t>
        </is>
      </c>
      <c r="C20" t="inlineStr">
        <is>
          <t>mid</t>
        </is>
      </c>
      <c r="D20" t="n">
        <v>117</v>
      </c>
      <c r="E20" t="n">
        <v>100</v>
      </c>
      <c r="F20" t="inlineStr">
        <is>
          <t>solo</t>
        </is>
      </c>
      <c r="G20" t="inlineStr">
        <is>
          <t>gains a killable target at wave 10 — a second income channel</t>
        </is>
      </c>
    </row>
    <row r="21">
      <c r="A21" t="inlineStr">
        <is>
          <t>Catch the Bun Buns</t>
        </is>
      </c>
      <c r="B21" t="inlineStr">
        <is>
          <t>Catch_Bun</t>
        </is>
      </c>
      <c r="C21" t="n">
        <v>25</v>
      </c>
      <c r="D21" t="n">
        <v>120</v>
      </c>
      <c r="F21" t="inlineStr">
        <is>
          <t>solo</t>
        </is>
      </c>
      <c r="G21" t="inlineStr">
        <is>
          <t>scripted at wave 25</t>
        </is>
      </c>
    </row>
    <row r="22">
      <c r="A22" t="inlineStr">
        <is>
          <t>Excavation Site</t>
        </is>
      </c>
      <c r="B22" t="inlineStr">
        <is>
          <t>Excavate</t>
        </is>
      </c>
      <c r="C22" t="inlineStr">
        <is>
          <t>late</t>
        </is>
      </c>
      <c r="D22" t="n">
        <v>130</v>
      </c>
      <c r="F22" t="inlineStr">
        <is>
          <t>solo</t>
        </is>
      </c>
      <c r="G22" t="inlineStr">
        <is>
          <t>~13 coins at the 10g tier</t>
        </is>
      </c>
    </row>
    <row r="23">
      <c r="A23" t="inlineStr">
        <is>
          <t>The Obstacle Course</t>
        </is>
      </c>
      <c r="B23" t="inlineStr">
        <is>
          <t>OB</t>
        </is>
      </c>
      <c r="C23" t="n">
        <v>20</v>
      </c>
      <c r="D23" t="n">
        <v>150</v>
      </c>
      <c r="F23" t="inlineStr">
        <is>
          <t>solo</t>
        </is>
      </c>
      <c r="G23" t="inlineStr">
        <is>
          <t>scripted at wave 20; 50 per section + 50 flawless</t>
        </is>
      </c>
    </row>
    <row r="24">
      <c r="A24" t="inlineStr">
        <is>
          <t>300 Blind Mice</t>
        </is>
      </c>
      <c r="B24" t="inlineStr">
        <is>
          <t>Rat</t>
        </is>
      </c>
      <c r="C24" t="inlineStr">
        <is>
          <t>late</t>
        </is>
      </c>
      <c r="D24" t="n">
        <v>70</v>
      </c>
      <c r="E24" t="n">
        <v>90</v>
      </c>
      <c r="F24" t="inlineStr">
        <is>
          <t>solo</t>
        </is>
      </c>
      <c r="G24" t="inlineStr">
        <is>
          <t>density and unit value both ramp</t>
        </is>
      </c>
    </row>
    <row r="25">
      <c r="A25" t="inlineStr">
        <is>
          <t>Dragon Loot</t>
        </is>
      </c>
      <c r="B25" t="inlineStr">
        <is>
          <t>Dragon</t>
        </is>
      </c>
      <c r="C25" t="inlineStr">
        <is>
          <t>late</t>
        </is>
      </c>
      <c r="D25" t="n">
        <v>60</v>
      </c>
      <c r="E25" t="n">
        <v>90</v>
      </c>
      <c r="F25" t="inlineStr">
        <is>
          <t>solo</t>
        </is>
      </c>
      <c r="G25" t="inlineStr">
        <is>
          <t>realised fell while the ceiling rose — variance</t>
        </is>
      </c>
    </row>
    <row r="26">
      <c r="A26" t="inlineStr">
        <is>
          <t>Shrapnel</t>
        </is>
      </c>
      <c r="B26" t="inlineStr">
        <is>
          <t>Rock</t>
        </is>
      </c>
      <c r="C26" t="inlineStr">
        <is>
          <t>late</t>
        </is>
      </c>
      <c r="D26" t="n">
        <v>190</v>
      </c>
      <c r="F26" t="inlineStr">
        <is>
          <t>solo</t>
        </is>
      </c>
      <c r="G26" t="inlineStr">
        <is>
          <t>highest measured; better coin tiers at every band</t>
        </is>
      </c>
    </row>
    <row r="27">
      <c r="A27" t="inlineStr">
        <is>
          <t>Kandy Man</t>
        </is>
      </c>
      <c r="B27" t="inlineStr">
        <is>
          <t>Kandy</t>
        </is>
      </c>
      <c r="C27" t="n">
        <v>12</v>
      </c>
      <c r="F27" t="inlineStr">
        <is>
          <t>solo</t>
        </is>
      </c>
      <c r="G27" t="inlineStr">
        <is>
          <t>owner: too hard — all-or-nothing, pays zero on a miss</t>
        </is>
      </c>
    </row>
  </sheetData>
  <autoFilter ref="A1:G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39" customWidth="1" min="3" max="3"/>
    <col width="32" customWidth="1" min="4" max="4"/>
    <col width="9" customWidth="1" min="5" max="5"/>
    <col width="35" customWidth="1" min="6" max="6"/>
    <col width="9" customWidth="1" min="7" max="7"/>
    <col width="48" customWidth="1" min="8" max="8"/>
    <col width="17" customWidth="1" min="9" max="9"/>
  </cols>
  <sheetData>
    <row r="1">
      <c r="A1" s="1" t="inlineStr">
        <is>
          <t>minigame</t>
        </is>
      </c>
      <c r="B1" s="1" t="inlineStr">
        <is>
          <t>internal</t>
        </is>
      </c>
      <c r="C1" s="1" t="inlineStr">
        <is>
          <t>objective</t>
        </is>
      </c>
      <c r="D1" s="1" t="inlineStr">
        <is>
          <t>target</t>
        </is>
      </c>
      <c r="E1" s="1" t="inlineStr">
        <is>
          <t>gold</t>
        </is>
      </c>
      <c r="F1" s="1" t="inlineStr">
        <is>
          <t>gold_text</t>
        </is>
      </c>
      <c r="G1" s="1" t="inlineStr">
        <is>
          <t>scope</t>
        </is>
      </c>
      <c r="H1" s="1" t="inlineStr">
        <is>
          <t>condition</t>
        </is>
      </c>
      <c r="I1" s="1" t="inlineStr">
        <is>
          <t>also_gives_life</t>
        </is>
      </c>
    </row>
    <row r="2">
      <c r="A2" t="inlineStr">
        <is>
          <t>Hungry Hungry Penguins</t>
        </is>
      </c>
      <c r="B2" t="inlineStr">
        <is>
          <t>Peng</t>
        </is>
      </c>
      <c r="C2" t="inlineStr">
        <is>
          <t>Feed on the fishes!</t>
        </is>
      </c>
      <c r="D2" t="inlineStr">
        <is>
          <t>Fishy</t>
        </is>
      </c>
      <c r="E2" t="n">
        <v>3</v>
      </c>
      <c r="G2" t="inlineStr">
        <is>
          <t>killer</t>
        </is>
      </c>
    </row>
    <row r="3">
      <c r="A3" t="inlineStr">
        <is>
          <t>Hungry Hungry Penguins</t>
        </is>
      </c>
      <c r="B3" t="inlineStr">
        <is>
          <t>Peng</t>
        </is>
      </c>
      <c r="C3" t="inlineStr">
        <is>
          <t>Feed on the fishes!</t>
        </is>
      </c>
      <c r="D3" t="inlineStr">
        <is>
          <t>Tasty Fishy</t>
        </is>
      </c>
      <c r="E3" t="n">
        <v>4</v>
      </c>
      <c r="G3" t="inlineStr">
        <is>
          <t>killer</t>
        </is>
      </c>
    </row>
    <row r="4">
      <c r="A4" t="inlineStr">
        <is>
          <t>Hungry Hungry Penguins</t>
        </is>
      </c>
      <c r="B4" t="inlineStr">
        <is>
          <t>Peng</t>
        </is>
      </c>
      <c r="C4" t="inlineStr">
        <is>
          <t>Feed on the fishes!</t>
        </is>
      </c>
      <c r="D4" t="inlineStr">
        <is>
          <t>Uber Tasty Fishy</t>
        </is>
      </c>
      <c r="E4" t="n">
        <v>7</v>
      </c>
      <c r="G4" t="inlineStr">
        <is>
          <t>killer</t>
        </is>
      </c>
      <c r="H4" t="inlineStr">
        <is>
          <t>Level &gt;= 10 and Level &gt;= 20</t>
        </is>
      </c>
    </row>
    <row r="5">
      <c r="A5" t="inlineStr">
        <is>
          <t>Hungry Hungry Penguins</t>
        </is>
      </c>
      <c r="B5" t="inlineStr">
        <is>
          <t>Peng</t>
        </is>
      </c>
      <c r="C5" t="inlineStr">
        <is>
          <t>Feed on the fishes!</t>
        </is>
      </c>
      <c r="D5" t="inlineStr">
        <is>
          <t>Super Tasty Fishy</t>
        </is>
      </c>
      <c r="E5" t="n">
        <v>5</v>
      </c>
      <c r="G5" t="inlineStr">
        <is>
          <t>killer</t>
        </is>
      </c>
      <c r="H5" t="inlineStr">
        <is>
          <t>Level &gt;= 10 and NOT(Level &gt;= 20)</t>
        </is>
      </c>
    </row>
    <row r="6">
      <c r="A6" t="inlineStr">
        <is>
          <t>Hungry Hungry Penguins</t>
        </is>
      </c>
      <c r="B6" t="inlineStr">
        <is>
          <t>Peng</t>
        </is>
      </c>
      <c r="C6" t="inlineStr">
        <is>
          <t>Feed on the fishes!</t>
        </is>
      </c>
      <c r="D6" t="inlineStr">
        <is>
          <t>Catfan</t>
        </is>
      </c>
      <c r="E6" t="n">
        <v>20</v>
      </c>
      <c r="G6" t="inlineStr">
        <is>
          <t>all</t>
        </is>
      </c>
      <c r="H6" t="inlineStr">
        <is>
          <t>Level &gt;= 10</t>
        </is>
      </c>
    </row>
    <row r="7">
      <c r="A7" t="inlineStr">
        <is>
          <t>Shell Hunters</t>
        </is>
      </c>
      <c r="B7" t="inlineStr">
        <is>
          <t>Turtle</t>
        </is>
      </c>
      <c r="C7" t="inlineStr">
        <is>
          <t>Hunt shells!</t>
        </is>
      </c>
      <c r="D7" t="inlineStr">
        <is>
          <t>Baby Turtle</t>
        </is>
      </c>
      <c r="E7" t="n">
        <v>2</v>
      </c>
      <c r="G7" t="inlineStr">
        <is>
          <t>killer</t>
        </is>
      </c>
    </row>
    <row r="8">
      <c r="A8" t="inlineStr">
        <is>
          <t>Shell Hunters</t>
        </is>
      </c>
      <c r="B8" t="inlineStr">
        <is>
          <t>Turtle</t>
        </is>
      </c>
      <c r="C8" t="inlineStr">
        <is>
          <t>Hunt shells!</t>
        </is>
      </c>
      <c r="D8" t="inlineStr">
        <is>
          <t>Slow Turtle</t>
        </is>
      </c>
      <c r="E8" t="n">
        <v>3</v>
      </c>
      <c r="G8" t="inlineStr">
        <is>
          <t>killer</t>
        </is>
      </c>
    </row>
    <row r="9">
      <c r="A9" t="inlineStr">
        <is>
          <t>Shell Hunters</t>
        </is>
      </c>
      <c r="B9" t="inlineStr">
        <is>
          <t>Turtle</t>
        </is>
      </c>
      <c r="C9" t="inlineStr">
        <is>
          <t>Hunt shells!</t>
        </is>
      </c>
      <c r="D9" t="inlineStr">
        <is>
          <t>Fast Turtle</t>
        </is>
      </c>
      <c r="E9" t="n">
        <v>4</v>
      </c>
      <c r="G9" t="inlineStr">
        <is>
          <t>killer</t>
        </is>
      </c>
    </row>
    <row r="10">
      <c r="A10" t="inlineStr">
        <is>
          <t>Shell Hunters</t>
        </is>
      </c>
      <c r="B10" t="inlineStr">
        <is>
          <t>Turtle</t>
        </is>
      </c>
      <c r="C10" t="inlineStr">
        <is>
          <t>Hunt shells!</t>
        </is>
      </c>
      <c r="D10" t="inlineStr">
        <is>
          <t>Adamantium Turtle</t>
        </is>
      </c>
      <c r="E10" t="n">
        <v>15</v>
      </c>
      <c r="G10" t="inlineStr">
        <is>
          <t>all</t>
        </is>
      </c>
      <c r="H10" t="inlineStr">
        <is>
          <t>players &gt;= 3 and Level &gt;= 10</t>
        </is>
      </c>
    </row>
    <row r="11">
      <c r="A11" t="inlineStr">
        <is>
          <t>Shell Hunters</t>
        </is>
      </c>
      <c r="B11" t="inlineStr">
        <is>
          <t>Turtle</t>
        </is>
      </c>
      <c r="C11" t="inlineStr">
        <is>
          <t>Hunt shells!</t>
        </is>
      </c>
      <c r="D11" t="inlineStr">
        <is>
          <t>Platinum Turtle</t>
        </is>
      </c>
      <c r="E11" t="n">
        <v>35</v>
      </c>
      <c r="G11" t="inlineStr">
        <is>
          <t>all</t>
        </is>
      </c>
      <c r="H11" t="inlineStr">
        <is>
          <t>players &gt;= 3 and Level &gt;= 10 and Level &gt;= 20</t>
        </is>
      </c>
    </row>
    <row r="12">
      <c r="A12" t="inlineStr">
        <is>
          <t>Shell Hunters</t>
        </is>
      </c>
      <c r="B12" t="inlineStr">
        <is>
          <t>Turtle</t>
        </is>
      </c>
      <c r="C12" t="inlineStr">
        <is>
          <t>Hunt shells!</t>
        </is>
      </c>
      <c r="D12" t="inlineStr">
        <is>
          <t>Zinger Turtle</t>
        </is>
      </c>
      <c r="E12" t="n">
        <v>-6</v>
      </c>
      <c r="G12" t="inlineStr">
        <is>
          <t>killer</t>
        </is>
      </c>
      <c r="H12" t="inlineStr">
        <is>
          <t>HardMode == true</t>
        </is>
      </c>
    </row>
    <row r="13">
      <c r="A13" t="inlineStr">
        <is>
          <t>Bombarding Squad</t>
        </is>
      </c>
      <c r="B13" t="inlineStr">
        <is>
          <t>Kill_Rein</t>
        </is>
      </c>
      <c r="C13" t="inlineStr">
        <is>
          <t>Provide long range support!</t>
        </is>
      </c>
      <c r="D13" t="inlineStr">
        <is>
          <t>Sentinel</t>
        </is>
      </c>
      <c r="E13" t="n">
        <v>1</v>
      </c>
      <c r="G13" t="inlineStr">
        <is>
          <t>killer</t>
        </is>
      </c>
    </row>
    <row r="14">
      <c r="A14" t="inlineStr">
        <is>
          <t>Bombarding Squad</t>
        </is>
      </c>
      <c r="B14" t="inlineStr">
        <is>
          <t>Kill_Rein</t>
        </is>
      </c>
      <c r="C14" t="inlineStr">
        <is>
          <t>Provide long range support!</t>
        </is>
      </c>
      <c r="D14" t="inlineStr">
        <is>
          <t>Sentinel Lt.</t>
        </is>
      </c>
      <c r="E14" t="n">
        <v>2</v>
      </c>
      <c r="G14" t="inlineStr">
        <is>
          <t>killer</t>
        </is>
      </c>
    </row>
    <row r="15">
      <c r="A15" t="inlineStr">
        <is>
          <t>Bombarding Squad</t>
        </is>
      </c>
      <c r="B15" t="inlineStr">
        <is>
          <t>Kill_Rein</t>
        </is>
      </c>
      <c r="C15" t="inlineStr">
        <is>
          <t>Provide long range support!</t>
        </is>
      </c>
      <c r="D15" t="inlineStr">
        <is>
          <t>Magical Cart</t>
        </is>
      </c>
      <c r="E15" t="n">
        <v>10</v>
      </c>
      <c r="G15" t="inlineStr">
        <is>
          <t>all</t>
        </is>
      </c>
      <c r="H15" t="inlineStr">
        <is>
          <t>Level &gt;= 10</t>
        </is>
      </c>
    </row>
    <row r="16">
      <c r="A16" t="inlineStr">
        <is>
          <t>Bombarding Squad</t>
        </is>
      </c>
      <c r="B16" t="inlineStr">
        <is>
          <t>Kill_Rein</t>
        </is>
      </c>
      <c r="C16" t="inlineStr">
        <is>
          <t>Provide long range support!</t>
        </is>
      </c>
      <c r="D16" t="inlineStr">
        <is>
          <t>Leak</t>
        </is>
      </c>
      <c r="E16" t="n">
        <v>-2</v>
      </c>
      <c r="G16" t="inlineStr">
        <is>
          <t>all</t>
        </is>
      </c>
      <c r="H16" t="inlineStr">
        <is>
          <t>HardMode == true</t>
        </is>
      </c>
    </row>
    <row r="17">
      <c r="A17" t="inlineStr">
        <is>
          <t>300 Blind Mice</t>
        </is>
      </c>
      <c r="B17" t="inlineStr">
        <is>
          <t>Rat</t>
        </is>
      </c>
      <c r="C17" t="inlineStr">
        <is>
          <t>Kill the Vermin</t>
        </is>
      </c>
      <c r="D17" t="inlineStr">
        <is>
          <t>Small Vermin</t>
        </is>
      </c>
      <c r="F17" t="inlineStr">
        <is>
          <t>1 or +2</t>
        </is>
      </c>
      <c r="G17" t="inlineStr">
        <is>
          <t>killer</t>
        </is>
      </c>
    </row>
    <row r="18">
      <c r="A18" t="inlineStr">
        <is>
          <t>300 Blind Mice</t>
        </is>
      </c>
      <c r="B18" t="inlineStr">
        <is>
          <t>Rat</t>
        </is>
      </c>
      <c r="C18" t="inlineStr">
        <is>
          <t>Kill the Vermin</t>
        </is>
      </c>
      <c r="D18" t="inlineStr">
        <is>
          <t>Ravenous Pig</t>
        </is>
      </c>
      <c r="E18" t="n">
        <v>4</v>
      </c>
      <c r="G18" t="inlineStr">
        <is>
          <t>killer</t>
        </is>
      </c>
      <c r="H18" t="inlineStr">
        <is>
          <t>Level &gt;= 10</t>
        </is>
      </c>
    </row>
    <row r="19">
      <c r="A19" t="inlineStr">
        <is>
          <t>300 Blind Mice</t>
        </is>
      </c>
      <c r="B19" t="inlineStr">
        <is>
          <t>Rat</t>
        </is>
      </c>
      <c r="C19" t="inlineStr">
        <is>
          <t>Kill the Vermin</t>
        </is>
      </c>
      <c r="D19" t="inlineStr">
        <is>
          <t>Very Hungry Rat</t>
        </is>
      </c>
      <c r="E19" t="n">
        <v>6</v>
      </c>
      <c r="G19" t="inlineStr">
        <is>
          <t>killer</t>
        </is>
      </c>
      <c r="H19" t="inlineStr">
        <is>
          <t>Level &gt;= 20</t>
        </is>
      </c>
    </row>
    <row r="20">
      <c r="A20" t="inlineStr">
        <is>
          <t>Ghostbusters</t>
        </is>
      </c>
      <c r="B20" t="inlineStr">
        <is>
          <t>Ghost</t>
        </is>
      </c>
      <c r="C20" t="inlineStr">
        <is>
          <t>Bust the Ghosts!</t>
        </is>
      </c>
      <c r="D20" t="inlineStr">
        <is>
          <t>Poltergeist Worm</t>
        </is>
      </c>
      <c r="E20" t="n">
        <v>3</v>
      </c>
      <c r="G20" t="inlineStr">
        <is>
          <t>killer</t>
        </is>
      </c>
    </row>
    <row r="21">
      <c r="A21" t="inlineStr">
        <is>
          <t>Ghostbusters</t>
        </is>
      </c>
      <c r="B21" t="inlineStr">
        <is>
          <t>Ghost</t>
        </is>
      </c>
      <c r="C21" t="inlineStr">
        <is>
          <t>Bust the Ghosts!</t>
        </is>
      </c>
      <c r="D21" t="inlineStr">
        <is>
          <t>Mini</t>
        </is>
      </c>
      <c r="F21" t="inlineStr">
        <is>
          <t>Demon +5</t>
        </is>
      </c>
      <c r="G21" t="inlineStr">
        <is>
          <t>killer</t>
        </is>
      </c>
    </row>
    <row r="22">
      <c r="A22" t="inlineStr">
        <is>
          <t>Ghostbusters</t>
        </is>
      </c>
      <c r="B22" t="inlineStr">
        <is>
          <t>Ghost</t>
        </is>
      </c>
      <c r="C22" t="inlineStr">
        <is>
          <t>Bust the Ghosts!</t>
        </is>
      </c>
      <c r="D22" t="inlineStr">
        <is>
          <t>Slime God</t>
        </is>
      </c>
      <c r="E22" t="n">
        <v>7</v>
      </c>
      <c r="G22" t="inlineStr">
        <is>
          <t>killer</t>
        </is>
      </c>
    </row>
    <row r="23">
      <c r="A23" t="inlineStr">
        <is>
          <t>Ghostbusters</t>
        </is>
      </c>
      <c r="B23" t="inlineStr">
        <is>
          <t>Ghost</t>
        </is>
      </c>
      <c r="C23" t="inlineStr">
        <is>
          <t>Bust the Ghosts!</t>
        </is>
      </c>
      <c r="D23" t="inlineStr">
        <is>
          <t>Murder</t>
        </is>
      </c>
      <c r="E23" t="n">
        <v>9</v>
      </c>
      <c r="G23" t="inlineStr">
        <is>
          <t>killer</t>
        </is>
      </c>
      <c r="H23" t="inlineStr">
        <is>
          <t>Level &gt;= 10 and Level &gt;= 20 and CountPlayersInForceBJ(M_Game_Group) &gt;= 3 and HardMode == false</t>
        </is>
      </c>
    </row>
    <row r="24">
      <c r="A24" t="inlineStr">
        <is>
          <t>Ghostbusters</t>
        </is>
      </c>
      <c r="B24" t="inlineStr">
        <is>
          <t>Ghost</t>
        </is>
      </c>
      <c r="C24" t="inlineStr">
        <is>
          <t>Bust the Ghosts!</t>
        </is>
      </c>
      <c r="D24" t="inlineStr">
        <is>
          <t>Soul Reaper</t>
        </is>
      </c>
      <c r="E24" t="n">
        <v>20</v>
      </c>
      <c r="G24" t="inlineStr">
        <is>
          <t>killer</t>
        </is>
      </c>
      <c r="H24" t="inlineStr">
        <is>
          <t>Level &gt;= 10 and CountPlayersInForceBJ(M_Game_Group) &gt;= 3</t>
        </is>
      </c>
    </row>
    <row r="25">
      <c r="A25" t="inlineStr">
        <is>
          <t>Ghostbusters</t>
        </is>
      </c>
      <c r="B25" t="inlineStr">
        <is>
          <t>Ghost</t>
        </is>
      </c>
      <c r="C25" t="inlineStr">
        <is>
          <t>Bust the Ghosts!</t>
        </is>
      </c>
      <c r="D25" t="inlineStr">
        <is>
          <t>Murder</t>
        </is>
      </c>
      <c r="E25" t="n">
        <v>9</v>
      </c>
      <c r="G25" t="inlineStr">
        <is>
          <t>killer</t>
        </is>
      </c>
      <c r="H25" t="inlineStr">
        <is>
          <t>Level &gt;= 10 and Level &gt;= 20 and CountPlayersInForceBJ(M_Game_Group) &gt;= 3 and HardMode == false</t>
        </is>
      </c>
    </row>
    <row r="26">
      <c r="A26" t="inlineStr">
        <is>
          <t>Ghostbusters</t>
        </is>
      </c>
      <c r="B26" t="inlineStr">
        <is>
          <t>Ghost</t>
        </is>
      </c>
      <c r="C26" t="inlineStr">
        <is>
          <t>Bust the Ghosts!</t>
        </is>
      </c>
      <c r="D26" t="inlineStr">
        <is>
          <t>Ectobeast</t>
        </is>
      </c>
      <c r="E26" t="n">
        <v>30</v>
      </c>
      <c r="G26" t="inlineStr">
        <is>
          <t>all</t>
        </is>
      </c>
      <c r="H26" t="inlineStr">
        <is>
          <t>Level &gt;= 10 and Level &gt;= 20 and CountPlayersInForceBJ(M_Game_Group) &gt;= 3</t>
        </is>
      </c>
      <c r="I26" t="inlineStr">
        <is>
          <t>yes</t>
        </is>
      </c>
    </row>
    <row r="27">
      <c r="A27" t="inlineStr">
        <is>
          <t>Ghostbusters</t>
        </is>
      </c>
      <c r="B27" t="inlineStr">
        <is>
          <t>Ghost</t>
        </is>
      </c>
      <c r="C27" t="inlineStr">
        <is>
          <t>Bust the Ghosts!</t>
        </is>
      </c>
      <c r="D27" t="inlineStr">
        <is>
          <t>Bust All</t>
        </is>
      </c>
      <c r="E27" t="n">
        <v>25</v>
      </c>
      <c r="G27" t="inlineStr">
        <is>
          <t>all</t>
        </is>
      </c>
    </row>
    <row r="28">
      <c r="A28" t="inlineStr">
        <is>
          <t>Shrapnel</t>
        </is>
      </c>
      <c r="B28" t="inlineStr">
        <is>
          <t>Rock</t>
        </is>
      </c>
      <c r="C28" t="inlineStr">
        <is>
          <t>Collect coins!</t>
        </is>
      </c>
      <c r="D28" t="inlineStr">
        <is>
          <t>Small Coins</t>
        </is>
      </c>
      <c r="F28" t="inlineStr">
        <is>
          <t>Small Money</t>
        </is>
      </c>
      <c r="G28" t="inlineStr">
        <is>
          <t>killer</t>
        </is>
      </c>
    </row>
    <row r="29">
      <c r="A29" t="inlineStr">
        <is>
          <t>Shrapnel</t>
        </is>
      </c>
      <c r="B29" t="inlineStr">
        <is>
          <t>Rock</t>
        </is>
      </c>
      <c r="C29" t="inlineStr">
        <is>
          <t>Collect coins!</t>
        </is>
      </c>
      <c r="D29" t="inlineStr">
        <is>
          <t>Big Coins</t>
        </is>
      </c>
      <c r="F29" t="inlineStr">
        <is>
          <t>Big Money</t>
        </is>
      </c>
      <c r="G29" t="inlineStr">
        <is>
          <t>killer</t>
        </is>
      </c>
    </row>
    <row r="30">
      <c r="A30" t="inlineStr">
        <is>
          <t>Crispy Zergling</t>
        </is>
      </c>
      <c r="B30" t="inlineStr">
        <is>
          <t>Zerg</t>
        </is>
      </c>
      <c r="C30" t="inlineStr">
        <is>
          <t>Collect coins!</t>
        </is>
      </c>
      <c r="D30" t="inlineStr">
        <is>
          <t>Small Coins</t>
        </is>
      </c>
      <c r="F30" t="inlineStr">
        <is>
          <t>Small Money</t>
        </is>
      </c>
      <c r="G30" t="inlineStr">
        <is>
          <t>killer</t>
        </is>
      </c>
    </row>
    <row r="31">
      <c r="A31" t="inlineStr">
        <is>
          <t>Crispy Zergling</t>
        </is>
      </c>
      <c r="B31" t="inlineStr">
        <is>
          <t>Zerg</t>
        </is>
      </c>
      <c r="C31" t="inlineStr">
        <is>
          <t>Collect coins!</t>
        </is>
      </c>
      <c r="D31" t="inlineStr">
        <is>
          <t>Big Coins</t>
        </is>
      </c>
      <c r="F31" t="inlineStr">
        <is>
          <t>Big Money</t>
        </is>
      </c>
      <c r="G31" t="inlineStr">
        <is>
          <t>killer</t>
        </is>
      </c>
    </row>
    <row r="32">
      <c r="A32" t="inlineStr">
        <is>
          <t>Stuff on Fire</t>
        </is>
      </c>
      <c r="B32" t="inlineStr">
        <is>
          <t>Stuff_on_Fire</t>
        </is>
      </c>
      <c r="C32" t="inlineStr">
        <is>
          <t>Water the critters and save yourself!</t>
        </is>
      </c>
      <c r="D32" t="inlineStr">
        <is>
          <t>Chill</t>
        </is>
      </c>
      <c r="E32" t="n">
        <v>2</v>
      </c>
      <c r="G32" t="inlineStr">
        <is>
          <t>killer</t>
        </is>
      </c>
    </row>
    <row r="33">
      <c r="A33" t="inlineStr">
        <is>
          <t>Stuff on Fire</t>
        </is>
      </c>
      <c r="B33" t="inlineStr">
        <is>
          <t>Stuff_on_Fire</t>
        </is>
      </c>
      <c r="C33" t="inlineStr">
        <is>
          <t>Water the critters and save yourself!</t>
        </is>
      </c>
      <c r="D33" t="inlineStr">
        <is>
          <t>Survival Bonus</t>
        </is>
      </c>
      <c r="E33" t="n">
        <v>25</v>
      </c>
      <c r="F33" t="inlineStr">
        <is>
          <t>the game DISPLAYS 15, but pays 25</t>
        </is>
      </c>
      <c r="G33" t="inlineStr">
        <is>
          <t>all</t>
        </is>
      </c>
    </row>
    <row r="34">
      <c r="A34" t="inlineStr">
        <is>
          <t>Frothing Phobia</t>
        </is>
      </c>
      <c r="B34" t="inlineStr">
        <is>
          <t>Spider</t>
        </is>
      </c>
      <c r="C34" t="inlineStr">
        <is>
          <t>Survive!</t>
        </is>
      </c>
      <c r="D34" t="inlineStr">
        <is>
          <t>Viper Scorpion</t>
        </is>
      </c>
      <c r="E34" t="n">
        <v>3</v>
      </c>
      <c r="G34" t="inlineStr">
        <is>
          <t>killer</t>
        </is>
      </c>
      <c r="H34" t="inlineStr">
        <is>
          <t>Level &gt;= 10 and Level &gt;= 20</t>
        </is>
      </c>
    </row>
    <row r="35">
      <c r="A35" t="inlineStr">
        <is>
          <t>Frothing Phobia</t>
        </is>
      </c>
      <c r="B35" t="inlineStr">
        <is>
          <t>Spider</t>
        </is>
      </c>
      <c r="C35" t="inlineStr">
        <is>
          <t>Survive!</t>
        </is>
      </c>
      <c r="D35" t="inlineStr">
        <is>
          <t>Spitting Spider</t>
        </is>
      </c>
      <c r="E35" t="n">
        <v>2</v>
      </c>
      <c r="G35" t="inlineStr">
        <is>
          <t>killer</t>
        </is>
      </c>
      <c r="H35" t="inlineStr">
        <is>
          <t>Level &gt;= 10 and NOT(Level &gt;= 20)</t>
        </is>
      </c>
    </row>
    <row r="36">
      <c r="A36" t="inlineStr">
        <is>
          <t>Light the Fuse</t>
        </is>
      </c>
      <c r="B36" t="inlineStr">
        <is>
          <t>Warfare</t>
        </is>
      </c>
      <c r="C36" t="inlineStr">
        <is>
          <t>Suppress the suicidals!</t>
        </is>
      </c>
      <c r="D36" t="inlineStr">
        <is>
          <t>Insane in the Membrane</t>
        </is>
      </c>
      <c r="E36" t="n">
        <v>3</v>
      </c>
      <c r="G36" t="inlineStr">
        <is>
          <t>killer</t>
        </is>
      </c>
    </row>
    <row r="37">
      <c r="A37" t="inlineStr">
        <is>
          <t>Light the Fuse</t>
        </is>
      </c>
      <c r="B37" t="inlineStr">
        <is>
          <t>Warfare</t>
        </is>
      </c>
      <c r="C37" t="inlineStr">
        <is>
          <t>Suppress the suicidals!</t>
        </is>
      </c>
      <c r="D37" t="inlineStr">
        <is>
          <t>Warchief</t>
        </is>
      </c>
      <c r="E37" t="n">
        <v>9</v>
      </c>
      <c r="G37" t="inlineStr">
        <is>
          <t>team</t>
        </is>
      </c>
      <c r="H37" t="inlineStr">
        <is>
          <t>Level &gt;= 10</t>
        </is>
      </c>
    </row>
    <row r="38">
      <c r="A38" t="inlineStr">
        <is>
          <t>Light the Fuse</t>
        </is>
      </c>
      <c r="B38" t="inlineStr">
        <is>
          <t>Warfare</t>
        </is>
      </c>
      <c r="C38" t="inlineStr">
        <is>
          <t>Suppress the suicidals!</t>
        </is>
      </c>
      <c r="D38" t="inlineStr">
        <is>
          <t>Doom Lizard</t>
        </is>
      </c>
      <c r="E38" t="n">
        <v>32</v>
      </c>
      <c r="G38" t="inlineStr">
        <is>
          <t>team</t>
        </is>
      </c>
      <c r="H38" t="inlineStr">
        <is>
          <t>Level &gt;= 20</t>
        </is>
      </c>
    </row>
    <row r="39">
      <c r="A39" t="inlineStr">
        <is>
          <t>Excavation Site</t>
        </is>
      </c>
      <c r="B39" t="inlineStr">
        <is>
          <t>Excavate</t>
        </is>
      </c>
      <c r="C39" t="inlineStr">
        <is>
          <t>Blow stuff up!</t>
        </is>
      </c>
      <c r="D39" t="inlineStr">
        <is>
          <t>Small Coins</t>
        </is>
      </c>
      <c r="F39" t="inlineStr">
        <is>
          <t>Small Money</t>
        </is>
      </c>
      <c r="G39" t="inlineStr">
        <is>
          <t>killer</t>
        </is>
      </c>
    </row>
    <row r="40">
      <c r="A40" t="inlineStr">
        <is>
          <t>Excavation Site</t>
        </is>
      </c>
      <c r="B40" t="inlineStr">
        <is>
          <t>Excavate</t>
        </is>
      </c>
      <c r="C40" t="inlineStr">
        <is>
          <t>Blow stuff up!</t>
        </is>
      </c>
      <c r="D40" t="inlineStr">
        <is>
          <t>Killing Critter</t>
        </is>
      </c>
      <c r="F40" t="inlineStr">
        <is>
          <t>Small Money</t>
        </is>
      </c>
      <c r="G40" t="inlineStr">
        <is>
          <t>killer</t>
        </is>
      </c>
    </row>
    <row r="41">
      <c r="A41" t="inlineStr">
        <is>
          <t>Excavation Site</t>
        </is>
      </c>
      <c r="B41" t="inlineStr">
        <is>
          <t>Excavate</t>
        </is>
      </c>
      <c r="C41" t="inlineStr">
        <is>
          <t>Blow stuff up!</t>
        </is>
      </c>
      <c r="D41" t="inlineStr">
        <is>
          <t>Big Coins</t>
        </is>
      </c>
      <c r="F41" t="inlineStr">
        <is>
          <t>Big Money</t>
        </is>
      </c>
      <c r="G41" t="inlineStr">
        <is>
          <t>killer</t>
        </is>
      </c>
    </row>
    <row r="42">
      <c r="A42" t="inlineStr">
        <is>
          <t>Dragon Loot</t>
        </is>
      </c>
      <c r="B42" t="inlineStr">
        <is>
          <t>Dragon</t>
        </is>
      </c>
      <c r="C42" t="inlineStr">
        <is>
          <t>Hunt then be hunted!</t>
        </is>
      </c>
      <c r="D42" t="inlineStr">
        <is>
          <t>Revenge</t>
        </is>
      </c>
      <c r="E42" t="n">
        <v>2</v>
      </c>
      <c r="G42" t="inlineStr">
        <is>
          <t>killer</t>
        </is>
      </c>
    </row>
    <row r="43">
      <c r="A43" t="inlineStr">
        <is>
          <t>Dragon Loot</t>
        </is>
      </c>
      <c r="B43" t="inlineStr">
        <is>
          <t>Dragon</t>
        </is>
      </c>
      <c r="C43" t="inlineStr">
        <is>
          <t>Hunt then be hunted!</t>
        </is>
      </c>
      <c r="D43" t="inlineStr">
        <is>
          <t>Small Coins</t>
        </is>
      </c>
      <c r="F43" t="inlineStr">
        <is>
          <t>Small Money</t>
        </is>
      </c>
      <c r="G43" t="inlineStr">
        <is>
          <t>killer</t>
        </is>
      </c>
    </row>
    <row r="44">
      <c r="A44" t="inlineStr">
        <is>
          <t>Dragon Loot</t>
        </is>
      </c>
      <c r="B44" t="inlineStr">
        <is>
          <t>Dragon</t>
        </is>
      </c>
      <c r="C44" t="inlineStr">
        <is>
          <t>Hunt then be hunted!</t>
        </is>
      </c>
      <c r="D44" t="inlineStr">
        <is>
          <t>Big Coins</t>
        </is>
      </c>
      <c r="F44" t="inlineStr">
        <is>
          <t>Big Money</t>
        </is>
      </c>
      <c r="G44" t="inlineStr">
        <is>
          <t>killer</t>
        </is>
      </c>
    </row>
    <row r="45">
      <c r="A45" t="inlineStr">
        <is>
          <t>Dragon Loot</t>
        </is>
      </c>
      <c r="B45" t="inlineStr">
        <is>
          <t>Dragon</t>
        </is>
      </c>
      <c r="C45" t="inlineStr">
        <is>
          <t>Hunt then be hunted!</t>
        </is>
      </c>
      <c r="D45" t="inlineStr">
        <is>
          <t>Mega Revenge</t>
        </is>
      </c>
      <c r="E45" t="n">
        <v>3</v>
      </c>
      <c r="G45" t="inlineStr">
        <is>
          <t>killer</t>
        </is>
      </c>
      <c r="H45" t="inlineStr">
        <is>
          <t>HardMode == true</t>
        </is>
      </c>
    </row>
    <row r="46">
      <c r="A46" t="inlineStr">
        <is>
          <t>Kandy Man</t>
        </is>
      </c>
      <c r="B46" t="inlineStr">
        <is>
          <t>Kandy</t>
        </is>
      </c>
      <c r="C46" t="inlineStr">
        <is>
          <t>Kill the Kandy Man!</t>
        </is>
      </c>
      <c r="D46" t="inlineStr">
        <is>
          <t>Kandy Kid</t>
        </is>
      </c>
      <c r="E46" t="n">
        <v>4</v>
      </c>
      <c r="G46" t="inlineStr">
        <is>
          <t>killer</t>
        </is>
      </c>
    </row>
    <row r="47">
      <c r="A47" t="inlineStr">
        <is>
          <t>Tree Jacks</t>
        </is>
      </c>
      <c r="B47" t="inlineStr">
        <is>
          <t>Tree</t>
        </is>
      </c>
      <c r="C47" t="inlineStr">
        <is>
          <t>Attack and Harvest lumber</t>
        </is>
      </c>
      <c r="D47" t="inlineStr">
        <is>
          <t>Attack Tree</t>
        </is>
      </c>
      <c r="E47" t="n">
        <v>1</v>
      </c>
      <c r="G47" t="inlineStr">
        <is>
          <t>killer</t>
        </is>
      </c>
    </row>
    <row r="48">
      <c r="A48" t="inlineStr">
        <is>
          <t>Coin Grab Mania</t>
        </is>
      </c>
      <c r="B48" t="inlineStr">
        <is>
          <t>Treas</t>
        </is>
      </c>
      <c r="C48" t="inlineStr">
        <is>
          <t>Get the gold!</t>
        </is>
      </c>
      <c r="D48" t="inlineStr">
        <is>
          <t>Small Coins</t>
        </is>
      </c>
      <c r="F48" t="inlineStr">
        <is>
          <t>Small Money</t>
        </is>
      </c>
      <c r="G48" t="inlineStr">
        <is>
          <t>killer</t>
        </is>
      </c>
    </row>
    <row r="49">
      <c r="A49" t="inlineStr">
        <is>
          <t>Coin Grab Mania</t>
        </is>
      </c>
      <c r="B49" t="inlineStr">
        <is>
          <t>Treas</t>
        </is>
      </c>
      <c r="C49" t="inlineStr">
        <is>
          <t>Get the gold!</t>
        </is>
      </c>
      <c r="D49" t="inlineStr">
        <is>
          <t>Big Coins</t>
        </is>
      </c>
      <c r="F49" t="inlineStr">
        <is>
          <t>Big Money</t>
        </is>
      </c>
      <c r="G49" t="inlineStr">
        <is>
          <t>killer</t>
        </is>
      </c>
    </row>
    <row r="50">
      <c r="A50" t="inlineStr">
        <is>
          <t>Race of Death II</t>
        </is>
      </c>
      <c r="B50" t="inlineStr">
        <is>
          <t>Racing</t>
        </is>
      </c>
      <c r="C50" t="inlineStr">
        <is>
          <t>Finish 5 laps before time runs out!</t>
        </is>
      </c>
      <c r="D50" t="inlineStr">
        <is>
          <t>Slay a Kodo Beast</t>
        </is>
      </c>
      <c r="E50" t="n">
        <v>5</v>
      </c>
      <c r="G50" t="inlineStr">
        <is>
          <t>killer</t>
        </is>
      </c>
    </row>
    <row r="51">
      <c r="A51" t="inlineStr">
        <is>
          <t>Race of Death II</t>
        </is>
      </c>
      <c r="B51" t="inlineStr">
        <is>
          <t>Racing</t>
        </is>
      </c>
      <c r="C51" t="inlineStr">
        <is>
          <t>Finish 5 laps before time runs out!</t>
        </is>
      </c>
      <c r="D51" t="inlineStr">
        <is>
          <t>1st Place</t>
        </is>
      </c>
      <c r="E51" t="n">
        <v>100</v>
      </c>
      <c r="G51" t="inlineStr">
        <is>
          <t>killer</t>
        </is>
      </c>
    </row>
    <row r="52">
      <c r="A52" t="inlineStr">
        <is>
          <t>Race of Death II</t>
        </is>
      </c>
      <c r="B52" t="inlineStr">
        <is>
          <t>Racing</t>
        </is>
      </c>
      <c r="C52" t="inlineStr">
        <is>
          <t>Finish 5 laps before time runs out!</t>
        </is>
      </c>
      <c r="D52" t="inlineStr">
        <is>
          <t>2nd Place</t>
        </is>
      </c>
      <c r="E52" t="n">
        <v>90</v>
      </c>
      <c r="G52" t="inlineStr">
        <is>
          <t>killer</t>
        </is>
      </c>
      <c r="H52" t="inlineStr">
        <is>
          <t>players &gt;= 2</t>
        </is>
      </c>
    </row>
    <row r="53">
      <c r="A53" t="inlineStr">
        <is>
          <t>Race of Death II</t>
        </is>
      </c>
      <c r="B53" t="inlineStr">
        <is>
          <t>Racing</t>
        </is>
      </c>
      <c r="C53" t="inlineStr">
        <is>
          <t>Finish 5 laps before time runs out!</t>
        </is>
      </c>
      <c r="D53" t="inlineStr">
        <is>
          <t>3rd Place</t>
        </is>
      </c>
      <c r="E53" t="n">
        <v>80</v>
      </c>
      <c r="G53" t="inlineStr">
        <is>
          <t>killer</t>
        </is>
      </c>
      <c r="H53" t="inlineStr">
        <is>
          <t>players &gt;= 3</t>
        </is>
      </c>
    </row>
    <row r="54">
      <c r="A54" t="inlineStr">
        <is>
          <t>Race of Death II</t>
        </is>
      </c>
      <c r="B54" t="inlineStr">
        <is>
          <t>Racing</t>
        </is>
      </c>
      <c r="C54" t="inlineStr">
        <is>
          <t>Finish 5 laps before time runs out!</t>
        </is>
      </c>
      <c r="D54" t="inlineStr">
        <is>
          <t>Forfeit</t>
        </is>
      </c>
      <c r="E54" t="n">
        <v>0</v>
      </c>
      <c r="G54" t="inlineStr">
        <is>
          <t>killer</t>
        </is>
      </c>
    </row>
    <row r="55">
      <c r="A55" t="inlineStr">
        <is>
          <t>Catch the Bun Buns</t>
        </is>
      </c>
      <c r="B55" t="inlineStr">
        <is>
          <t>Catch_Bun</t>
        </is>
      </c>
      <c r="C55" t="inlineStr">
        <is>
          <t>Catch the bunnies!</t>
        </is>
      </c>
      <c r="D55" t="inlineStr">
        <is>
          <t>Creampuff</t>
        </is>
      </c>
      <c r="E55" t="n">
        <v>2</v>
      </c>
      <c r="G55" t="inlineStr">
        <is>
          <t>killer</t>
        </is>
      </c>
    </row>
    <row r="56">
      <c r="A56" t="inlineStr">
        <is>
          <t>Catch the Bun Buns</t>
        </is>
      </c>
      <c r="B56" t="inlineStr">
        <is>
          <t>Catch_Bun</t>
        </is>
      </c>
      <c r="C56" t="inlineStr">
        <is>
          <t>Catch the bunnies!</t>
        </is>
      </c>
      <c r="D56" t="inlineStr">
        <is>
          <t>Moonlight</t>
        </is>
      </c>
      <c r="E56" t="n">
        <v>3</v>
      </c>
      <c r="G56" t="inlineStr">
        <is>
          <t>killer</t>
        </is>
      </c>
    </row>
    <row r="57">
      <c r="A57" t="inlineStr">
        <is>
          <t>Catch the Bun Buns</t>
        </is>
      </c>
      <c r="B57" t="inlineStr">
        <is>
          <t>Catch_Bun</t>
        </is>
      </c>
      <c r="C57" t="inlineStr">
        <is>
          <t>Catch the bunnies!</t>
        </is>
      </c>
      <c r="D57" t="inlineStr">
        <is>
          <t>Spotty</t>
        </is>
      </c>
      <c r="E57" t="n">
        <v>4</v>
      </c>
      <c r="G57" t="inlineStr">
        <is>
          <t>killer</t>
        </is>
      </c>
    </row>
    <row r="58">
      <c r="A58" t="inlineStr">
        <is>
          <t>Catch the Bun Buns</t>
        </is>
      </c>
      <c r="B58" t="inlineStr">
        <is>
          <t>Catch_Bun</t>
        </is>
      </c>
      <c r="C58" t="inlineStr">
        <is>
          <t>Catch the bunnies!</t>
        </is>
      </c>
      <c r="D58" t="inlineStr">
        <is>
          <t>Ein</t>
        </is>
      </c>
      <c r="E58" t="n">
        <v>6</v>
      </c>
      <c r="G58" t="inlineStr">
        <is>
          <t>team</t>
        </is>
      </c>
    </row>
    <row r="59">
      <c r="A59" t="inlineStr">
        <is>
          <t>Save the Sheep</t>
        </is>
      </c>
      <c r="B59" t="inlineStr">
        <is>
          <t>Sheep</t>
        </is>
      </c>
      <c r="C59" t="inlineStr">
        <is>
          <t>Quickly herd the sheep!</t>
        </is>
      </c>
      <c r="D59" t="inlineStr">
        <is>
          <t>Sheep</t>
        </is>
      </c>
      <c r="E59" t="n">
        <v>10</v>
      </c>
      <c r="G59" t="inlineStr">
        <is>
          <t>all</t>
        </is>
      </c>
    </row>
    <row r="60">
      <c r="A60" t="inlineStr">
        <is>
          <t>Save the Sheep</t>
        </is>
      </c>
      <c r="B60" t="inlineStr">
        <is>
          <t>Sheep</t>
        </is>
      </c>
      <c r="C60" t="inlineStr">
        <is>
          <t>Quickly herd the sheep!</t>
        </is>
      </c>
      <c r="D60" t="inlineStr">
        <is>
          <t>Black Sheep</t>
        </is>
      </c>
      <c r="E60" t="n">
        <v>35</v>
      </c>
      <c r="G60" t="inlineStr">
        <is>
          <t>all</t>
        </is>
      </c>
      <c r="I60" t="inlineStr">
        <is>
          <t>yes</t>
        </is>
      </c>
    </row>
    <row r="61">
      <c r="A61" t="inlineStr">
        <is>
          <t>The Obstacle Course</t>
        </is>
      </c>
      <c r="B61" t="inlineStr">
        <is>
          <t>OB</t>
        </is>
      </c>
      <c r="C61" t="inlineStr">
        <is>
          <t>Get to the end!</t>
        </is>
      </c>
      <c r="D61" t="inlineStr">
        <is>
          <t>3+ Flawless Players</t>
        </is>
      </c>
      <c r="G61" t="inlineStr">
        <is>
          <t>all</t>
        </is>
      </c>
      <c r="H61" t="inlineStr">
        <is>
          <t>CountPlayersInForceBJ(M_Game_Group) &gt;= 3</t>
        </is>
      </c>
      <c r="I61" t="inlineStr">
        <is>
          <t>yes</t>
        </is>
      </c>
    </row>
    <row r="62">
      <c r="A62" t="inlineStr">
        <is>
          <t>Micro Arena</t>
        </is>
      </c>
      <c r="B62" t="inlineStr">
        <is>
          <t>Micro</t>
        </is>
      </c>
      <c r="C62" t="inlineStr">
        <is>
          <t>Destroy the opposition!</t>
        </is>
      </c>
      <c r="D62" t="inlineStr">
        <is>
          <t>Ranged</t>
        </is>
      </c>
      <c r="E62" t="n">
        <v>1</v>
      </c>
      <c r="G62" t="inlineStr">
        <is>
          <t>killer</t>
        </is>
      </c>
    </row>
    <row r="63">
      <c r="A63" t="inlineStr">
        <is>
          <t>Micro Arena</t>
        </is>
      </c>
      <c r="B63" t="inlineStr">
        <is>
          <t>Micro</t>
        </is>
      </c>
      <c r="C63" t="inlineStr">
        <is>
          <t>Destroy the opposition!</t>
        </is>
      </c>
      <c r="D63" t="inlineStr">
        <is>
          <t>Melee</t>
        </is>
      </c>
      <c r="E63" t="n">
        <v>2</v>
      </c>
      <c r="G63" t="inlineStr">
        <is>
          <t>killer</t>
        </is>
      </c>
    </row>
    <row r="64">
      <c r="A64" t="inlineStr">
        <is>
          <t>Micro Arena</t>
        </is>
      </c>
      <c r="B64" t="inlineStr">
        <is>
          <t>Micro</t>
        </is>
      </c>
      <c r="C64" t="inlineStr">
        <is>
          <t>Destroy the opposition!</t>
        </is>
      </c>
      <c r="D64" t="inlineStr">
        <is>
          <t>Player or Proxy Hero Kill</t>
        </is>
      </c>
      <c r="E64" t="n">
        <v>7</v>
      </c>
      <c r="G64" t="inlineStr">
        <is>
          <t>team</t>
        </is>
      </c>
    </row>
    <row r="65">
      <c r="A65" t="inlineStr">
        <is>
          <t>Frothing Phobia</t>
        </is>
      </c>
      <c r="B65" t="inlineStr">
        <is>
          <t>Spider</t>
        </is>
      </c>
      <c r="D65" t="inlineStr">
        <is>
          <t>Survive a few seconds</t>
        </is>
      </c>
      <c r="F65" t="inlineStr">
        <is>
          <t>wave-banded 2/3/4</t>
        </is>
      </c>
      <c r="G65" t="inlineStr">
        <is>
          <t>killer</t>
        </is>
      </c>
    </row>
    <row r="66">
      <c r="A66" t="inlineStr">
        <is>
          <t>The Sky is Falling</t>
        </is>
      </c>
      <c r="B66" t="inlineStr">
        <is>
          <t>Hide</t>
        </is>
      </c>
      <c r="D66" t="inlineStr">
        <is>
          <t>Survive a few seconds</t>
        </is>
      </c>
      <c r="F66" t="inlineStr">
        <is>
          <t>wave-banded 2/3/4</t>
        </is>
      </c>
      <c r="G66" t="inlineStr">
        <is>
          <t>killer</t>
        </is>
      </c>
    </row>
    <row r="67">
      <c r="A67" t="inlineStr">
        <is>
          <t>The Sky is Falling</t>
        </is>
      </c>
      <c r="B67" t="inlineStr">
        <is>
          <t>Hide</t>
        </is>
      </c>
      <c r="D67" t="inlineStr">
        <is>
          <t>Survive a few seconds (Center)</t>
        </is>
      </c>
      <c r="F67" t="inlineStr">
        <is>
          <t>wave-banded 3/4/5</t>
        </is>
      </c>
      <c r="G67" t="inlineStr">
        <is>
          <t>killer</t>
        </is>
      </c>
    </row>
    <row r="68">
      <c r="A68" t="inlineStr">
        <is>
          <t>Kandy Man</t>
        </is>
      </c>
      <c r="B68" t="inlineStr">
        <is>
          <t>Kandy</t>
        </is>
      </c>
      <c r="D68" t="inlineStr">
        <is>
          <t>Kandy Man</t>
        </is>
      </c>
      <c r="F68" t="inlineStr">
        <is>
          <t>wave-banded 30/70/100</t>
        </is>
      </c>
      <c r="G68" t="inlineStr">
        <is>
          <t>killer</t>
        </is>
      </c>
    </row>
    <row r="69">
      <c r="A69" t="inlineStr">
        <is>
          <t>Tree Jacks</t>
        </is>
      </c>
      <c r="B69" t="inlineStr">
        <is>
          <t>Tree</t>
        </is>
      </c>
      <c r="D69" t="inlineStr">
        <is>
          <t>Sell Lumber</t>
        </is>
      </c>
      <c r="F69" t="inlineStr">
        <is>
          <t>wave-banded 3/4/5</t>
        </is>
      </c>
      <c r="G69" t="inlineStr">
        <is>
          <t>killer</t>
        </is>
      </c>
    </row>
    <row r="70">
      <c r="A70" t="inlineStr">
        <is>
          <t>The Obstacle Course</t>
        </is>
      </c>
      <c r="B70" t="inlineStr">
        <is>
          <t>OB</t>
        </is>
      </c>
      <c r="D70" t="inlineStr">
        <is>
          <t>Complete each Section</t>
        </is>
      </c>
      <c r="F70" t="inlineStr">
        <is>
          <t>wave-banded 25/35/50</t>
        </is>
      </c>
      <c r="G70" t="inlineStr">
        <is>
          <t>killer</t>
        </is>
      </c>
    </row>
    <row r="71">
      <c r="A71" t="inlineStr">
        <is>
          <t>The Obstacle Course</t>
        </is>
      </c>
      <c r="B71" t="inlineStr">
        <is>
          <t>OB</t>
        </is>
      </c>
      <c r="D71" t="inlineStr">
        <is>
          <t>Flawless Victory</t>
        </is>
      </c>
      <c r="F71" t="inlineStr">
        <is>
          <t>wave-banded 25/35/50</t>
        </is>
      </c>
      <c r="G71" t="inlineStr">
        <is>
          <t>killer</t>
        </is>
      </c>
    </row>
    <row r="72">
      <c r="A72" t="inlineStr">
        <is>
          <t>Micro Arena</t>
        </is>
      </c>
      <c r="B72" t="inlineStr">
        <is>
          <t>Micro</t>
        </is>
      </c>
      <c r="D72" t="inlineStr">
        <is>
          <t>Winning Team</t>
        </is>
      </c>
      <c r="F72" t="inlineStr">
        <is>
          <t>wave-banded 16/32/48</t>
        </is>
      </c>
      <c r="G72" t="inlineStr">
        <is>
          <t>killer</t>
        </is>
      </c>
    </row>
    <row r="73">
      <c r="A73" t="inlineStr">
        <is>
          <t>Micro Arena</t>
        </is>
      </c>
      <c r="B73" t="inlineStr">
        <is>
          <t>Micro</t>
        </is>
      </c>
      <c r="D73" t="inlineStr">
        <is>
          <t>Losing Team</t>
        </is>
      </c>
      <c r="F73" t="inlineStr">
        <is>
          <t>wave-banded 16/32/48</t>
        </is>
      </c>
      <c r="G73" t="inlineStr">
        <is>
          <t>killer</t>
        </is>
      </c>
    </row>
    <row r="74">
      <c r="A74" t="inlineStr">
        <is>
          <t>Catch the Bun Buns</t>
        </is>
      </c>
      <c r="B74" t="inlineStr">
        <is>
          <t>Catch_Bun</t>
        </is>
      </c>
      <c r="D74" t="inlineStr">
        <is>
          <t>Ein y</t>
        </is>
      </c>
      <c r="E74" t="n">
        <v>6</v>
      </c>
      <c r="F74" t="inlineStr">
        <is>
          <t>(All players +6 gold)</t>
        </is>
      </c>
      <c r="G74" t="inlineStr">
        <is>
          <t>all</t>
        </is>
      </c>
    </row>
    <row r="75">
      <c r="A75" t="inlineStr">
        <is>
          <t>The Sky is Falling</t>
        </is>
      </c>
      <c r="B75" t="inlineStr">
        <is>
          <t>Hide</t>
        </is>
      </c>
      <c r="D75" t="inlineStr">
        <is>
          <t>Money</t>
        </is>
      </c>
      <c r="E75" t="n">
        <v>1</v>
      </c>
      <c r="G75" t="inlineStr">
        <is>
          <t>killer</t>
        </is>
      </c>
    </row>
    <row r="76">
      <c r="A76" t="inlineStr">
        <is>
          <t>Micro Arena</t>
        </is>
      </c>
      <c r="B76" t="inlineStr">
        <is>
          <t>Micro</t>
        </is>
      </c>
      <c r="D76" t="inlineStr">
        <is>
          <t>Hero Kill E</t>
        </is>
      </c>
      <c r="E76" t="n">
        <v>7</v>
      </c>
      <c r="F76" t="inlineStr">
        <is>
          <t>(West +7 gold)</t>
        </is>
      </c>
      <c r="G76" t="inlineStr">
        <is>
          <t>killer</t>
        </is>
      </c>
    </row>
    <row r="77">
      <c r="A77" t="inlineStr">
        <is>
          <t>Micro Arena</t>
        </is>
      </c>
      <c r="B77" t="inlineStr">
        <is>
          <t>Micro</t>
        </is>
      </c>
      <c r="D77" t="inlineStr">
        <is>
          <t>Hero Kill W</t>
        </is>
      </c>
      <c r="E77" t="n">
        <v>7</v>
      </c>
      <c r="F77" t="inlineStr">
        <is>
          <t>(East +7 gold)</t>
        </is>
      </c>
      <c r="G77" t="inlineStr">
        <is>
          <t>killer</t>
        </is>
      </c>
    </row>
    <row r="78">
      <c r="A78" t="inlineStr">
        <is>
          <t>Hungry Hungry Penguins</t>
        </is>
      </c>
      <c r="B78" t="inlineStr">
        <is>
          <t>Peng</t>
        </is>
      </c>
      <c r="D78" t="inlineStr">
        <is>
          <t>Kill Catfan</t>
        </is>
      </c>
      <c r="E78" t="n">
        <v>25</v>
      </c>
      <c r="F78" t="inlineStr">
        <is>
          <t>(All players +20 gold)</t>
        </is>
      </c>
      <c r="G78" t="inlineStr">
        <is>
          <t>all</t>
        </is>
      </c>
    </row>
    <row r="79">
      <c r="A79" t="inlineStr">
        <is>
          <t>Light the Fuse</t>
        </is>
      </c>
      <c r="B79" t="inlineStr">
        <is>
          <t>Warfare</t>
        </is>
      </c>
      <c r="D79" t="inlineStr">
        <is>
          <t>Kill Special Unit E y</t>
        </is>
      </c>
      <c r="E79" t="n">
        <v>9</v>
      </c>
      <c r="F79" t="inlineStr">
        <is>
          <t>(East +9 gold)</t>
        </is>
      </c>
      <c r="G79" t="inlineStr">
        <is>
          <t>killer</t>
        </is>
      </c>
    </row>
    <row r="80">
      <c r="A80" t="inlineStr">
        <is>
          <t>Light the Fuse</t>
        </is>
      </c>
      <c r="B80" t="inlineStr">
        <is>
          <t>Warfare</t>
        </is>
      </c>
      <c r="D80" t="inlineStr">
        <is>
          <t>Kill Special Unit W y</t>
        </is>
      </c>
      <c r="E80" t="n">
        <v>9</v>
      </c>
      <c r="F80" t="inlineStr">
        <is>
          <t>(West +9 gold)</t>
        </is>
      </c>
      <c r="G80" t="inlineStr">
        <is>
          <t>killer</t>
        </is>
      </c>
    </row>
  </sheetData>
  <autoFilter ref="A1:I8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15"/>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11" customWidth="1" min="3" max="3"/>
    <col width="13" customWidth="1" min="4" max="4"/>
    <col width="9" customWidth="1" min="5" max="5"/>
    <col width="10" customWidth="1" min="6" max="6"/>
    <col width="10" customWidth="1" min="7" max="7"/>
    <col width="11" customWidth="1" min="8" max="8"/>
    <col width="15" customWidth="1" min="9" max="9"/>
    <col width="10" customWidth="1" min="10" max="10"/>
    <col width="12" customWidth="1" min="11" max="11"/>
    <col width="11" customWidth="1" min="12" max="12"/>
    <col width="13" customWidth="1" min="13" max="13"/>
    <col width="11" customWidth="1" min="14" max="14"/>
    <col width="11" customWidth="1" min="15" max="15"/>
    <col width="12" customWidth="1" min="16" max="16"/>
    <col width="20" customWidth="1" min="17" max="17"/>
    <col width="11" customWidth="1" min="18" max="18"/>
    <col width="10" customWidth="1" min="19" max="19"/>
    <col width="10" customWidth="1" min="20" max="20"/>
    <col width="11" customWidth="1" min="21" max="21"/>
    <col width="15" customWidth="1" min="22" max="22"/>
    <col width="10" customWidth="1" min="23" max="23"/>
    <col width="12" customWidth="1" min="24" max="24"/>
    <col width="11" customWidth="1" min="25" max="25"/>
    <col width="11" customWidth="1" min="26" max="26"/>
    <col width="11" customWidth="1" min="27" max="27"/>
    <col width="12" customWidth="1" min="28" max="28"/>
    <col width="13" customWidth="1" min="29" max="29"/>
    <col width="14" customWidth="1" min="30" max="30"/>
    <col width="9" customWidth="1" min="31" max="31"/>
    <col width="26" customWidth="1" min="32" max="32"/>
    <col width="35" customWidth="1" min="33" max="33"/>
    <col width="12" customWidth="1" min="34" max="34"/>
    <col width="17" customWidth="1" min="35" max="35"/>
    <col width="48" customWidth="1" min="36" max="36"/>
    <col width="48" customWidth="1" min="37" max="37"/>
    <col width="9" customWidth="1" min="38" max="38"/>
    <col width="17" customWidth="1" min="39" max="39"/>
    <col width="15" customWidth="1" min="40" max="40"/>
    <col width="12" customWidth="1" min="41" max="41"/>
    <col width="9" customWidth="1" min="42" max="42"/>
    <col width="15" customWidth="1" min="43" max="43"/>
    <col width="14" customWidth="1" min="44" max="44"/>
    <col width="22" customWidth="1" min="45" max="45"/>
    <col width="17" customWidth="1" min="46" max="46"/>
    <col width="27" customWidth="1" min="47" max="47"/>
    <col width="14" customWidth="1" min="48" max="48"/>
  </cols>
  <sheetData>
    <row r="1">
      <c r="A1" s="1" t="inlineStr">
        <is>
          <t>unit_id</t>
        </is>
      </c>
      <c r="B1" s="1" t="inlineStr">
        <is>
          <t>name</t>
        </is>
      </c>
      <c r="C1" s="1" t="inlineStr">
        <is>
          <t>cost_gold</t>
        </is>
      </c>
      <c r="D1" s="1" t="inlineStr">
        <is>
          <t>cost_lumber</t>
        </is>
      </c>
      <c r="E1" s="1" t="inlineStr">
        <is>
          <t>food</t>
        </is>
      </c>
      <c r="F1" s="1" t="inlineStr">
        <is>
          <t>atk1_min</t>
        </is>
      </c>
      <c r="G1" s="1" t="inlineStr">
        <is>
          <t>atk1_max</t>
        </is>
      </c>
      <c r="H1" s="1" t="inlineStr">
        <is>
          <t>atk1_mean</t>
        </is>
      </c>
      <c r="I1" s="1" t="inlineStr">
        <is>
          <t>atk1_cooldown</t>
        </is>
      </c>
      <c r="J1" s="1" t="inlineStr">
        <is>
          <t>atk1_dps</t>
        </is>
      </c>
      <c r="K1" s="1" t="inlineStr">
        <is>
          <t>atk1_range</t>
        </is>
      </c>
      <c r="L1" s="1" t="inlineStr">
        <is>
          <t>atk1_type</t>
        </is>
      </c>
      <c r="M1" s="1" t="inlineStr">
        <is>
          <t>atk1_weapon</t>
        </is>
      </c>
      <c r="N1" s="1" t="inlineStr">
        <is>
          <t>atk1_base</t>
        </is>
      </c>
      <c r="O1" s="1" t="inlineStr">
        <is>
          <t>atk1_dice</t>
        </is>
      </c>
      <c r="P1" s="1" t="inlineStr">
        <is>
          <t>atk1_sides</t>
        </is>
      </c>
      <c r="Q1" s="1" t="inlineStr">
        <is>
          <t>atk1_type_resolved</t>
        </is>
      </c>
      <c r="R1" s="1" t="inlineStr">
        <is>
          <t>base_unit</t>
        </is>
      </c>
      <c r="S1" s="1" t="inlineStr">
        <is>
          <t>atk2_min</t>
        </is>
      </c>
      <c r="T1" s="1" t="inlineStr">
        <is>
          <t>atk2_max</t>
        </is>
      </c>
      <c r="U1" s="1" t="inlineStr">
        <is>
          <t>atk2_mean</t>
        </is>
      </c>
      <c r="V1" s="1" t="inlineStr">
        <is>
          <t>atk2_cooldown</t>
        </is>
      </c>
      <c r="W1" s="1" t="inlineStr">
        <is>
          <t>atk2_dps</t>
        </is>
      </c>
      <c r="X1" s="1" t="inlineStr">
        <is>
          <t>atk2_range</t>
        </is>
      </c>
      <c r="Y1" s="1" t="inlineStr">
        <is>
          <t>atk2_type</t>
        </is>
      </c>
      <c r="Z1" s="1" t="inlineStr">
        <is>
          <t>atk2_base</t>
        </is>
      </c>
      <c r="AA1" s="1" t="inlineStr">
        <is>
          <t>atk2_dice</t>
        </is>
      </c>
      <c r="AB1" s="1" t="inlineStr">
        <is>
          <t>atk2_sides</t>
        </is>
      </c>
      <c r="AC1" s="1" t="inlineStr">
        <is>
          <t>armour_type</t>
        </is>
      </c>
      <c r="AD1" s="1" t="inlineStr">
        <is>
          <t>armour_value</t>
        </is>
      </c>
      <c r="AE1" s="1" t="inlineStr">
        <is>
          <t>hp</t>
        </is>
      </c>
      <c r="AF1" s="1" t="inlineStr">
        <is>
          <t>abilities</t>
        </is>
      </c>
      <c r="AG1" s="1" t="inlineStr">
        <is>
          <t>tooltip</t>
        </is>
      </c>
      <c r="AH1" s="1" t="inlineStr">
        <is>
          <t>hero</t>
        </is>
      </c>
      <c r="AI1" s="1" t="inlineStr">
        <is>
          <t>obs_owner_label</t>
        </is>
      </c>
      <c r="AJ1" s="1" t="inlineStr">
        <is>
          <t>obs_notes</t>
        </is>
      </c>
      <c r="AK1" s="1" t="inlineStr">
        <is>
          <t>traits</t>
        </is>
      </c>
      <c r="AL1" s="1" t="inlineStr">
        <is>
          <t>dps_raw</t>
        </is>
      </c>
      <c r="AM1" s="1" t="inlineStr">
        <is>
          <t>crit_multiplier</t>
        </is>
      </c>
      <c r="AN1" s="1" t="inlineStr">
        <is>
          <t>dps_with_crit</t>
        </is>
      </c>
      <c r="AO1" s="1" t="inlineStr">
        <is>
          <t>on_hit_dps</t>
        </is>
      </c>
      <c r="AP1" s="1" t="inlineStr">
        <is>
          <t>dot_dps</t>
        </is>
      </c>
      <c r="AQ1" s="1" t="inlineStr">
        <is>
          <t>dps_total_est</t>
        </is>
      </c>
      <c r="AR1" s="1" t="inlineStr">
        <is>
          <t>dps_per_gold</t>
        </is>
      </c>
      <c r="AS1" s="1" t="inlineStr">
        <is>
          <t>dps_per_gold_x_range</t>
        </is>
      </c>
      <c r="AT1" s="1" t="inlineStr">
        <is>
          <t>coverage_vs_725</t>
        </is>
      </c>
      <c r="AU1" s="1" t="inlineStr">
        <is>
          <t>dps_per_gold_coverage_adj</t>
        </is>
      </c>
      <c r="AV1" s="1" t="inlineStr">
        <is>
          <t>dps_source</t>
        </is>
      </c>
    </row>
    <row r="2">
      <c r="A2" t="inlineStr">
        <is>
          <t>h04H</t>
        </is>
      </c>
      <c r="B2" t="inlineStr">
        <is>
          <t>Brahma's Fix-it Shop</t>
        </is>
      </c>
      <c r="C2" t="n">
        <v>95</v>
      </c>
      <c r="D2" t="n">
        <v>0</v>
      </c>
      <c r="F2" t="n">
        <v>175</v>
      </c>
      <c r="G2" t="n">
        <v>175</v>
      </c>
      <c r="H2" t="n">
        <v>175</v>
      </c>
      <c r="I2" t="n">
        <v>1.5</v>
      </c>
      <c r="J2" t="n">
        <v>116.7</v>
      </c>
      <c r="K2" t="n">
        <v>1100</v>
      </c>
      <c r="L2" t="inlineStr">
        <is>
          <t>siege</t>
        </is>
      </c>
      <c r="M2" t="inlineStr">
        <is>
          <t>missile</t>
        </is>
      </c>
      <c r="N2" t="n">
        <v>174</v>
      </c>
      <c r="O2" t="n">
        <v>1</v>
      </c>
      <c r="P2" t="n">
        <v>1</v>
      </c>
      <c r="Q2" t="inlineStr">
        <is>
          <t>siege</t>
        </is>
      </c>
      <c r="R2" t="inlineStr">
        <is>
          <t>hhou</t>
        </is>
      </c>
      <c r="AD2" t="n">
        <v>7</v>
      </c>
      <c r="AE2" t="n">
        <v>1500</v>
      </c>
      <c r="AF2" t="inlineStr">
        <is>
          <t>A03Y,A070,AChv,A028</t>
        </is>
      </c>
      <c r="AG2" t="inlineStr">
        <is>
          <t>Up g rade to Brahma's Fix-it Shop</t>
        </is>
      </c>
      <c r="AK2" t="inlineStr">
        <is>
          <t>Machine Critical Strike (A03Y); Super Regeneration (A070); Empathic Fix (AChv); Sell Tower (A028)</t>
        </is>
      </c>
      <c r="AL2" t="n">
        <v>116.7</v>
      </c>
      <c r="AM2" t="n">
        <v>1.8</v>
      </c>
      <c r="AN2">
        <f>AL2*AM2</f>
        <v/>
      </c>
      <c r="AQ2">
        <f>AN2+N(AO2)+N(AP2)</f>
        <v/>
      </c>
      <c r="AR2">
        <f>IF(C2=0,"",AQ2/C2)</f>
        <v/>
      </c>
      <c r="AS2">
        <f>IF(C2=0,"",AR2*(K2/725))</f>
        <v/>
      </c>
      <c r="AT2">
        <f>(K2/725)^2</f>
        <v/>
      </c>
      <c r="AU2">
        <f>IF(C2=0,"",AR2*AT2)</f>
        <v/>
      </c>
      <c r="AV2" t="inlineStr">
        <is>
          <t>basic attack</t>
        </is>
      </c>
    </row>
    <row r="3">
      <c r="A3" t="inlineStr">
        <is>
          <t>h04I</t>
        </is>
      </c>
      <c r="B3" t="inlineStr">
        <is>
          <t>Equipped Peasant 1</t>
        </is>
      </c>
      <c r="C3" t="n">
        <v>10</v>
      </c>
      <c r="D3" t="n">
        <v>0</v>
      </c>
      <c r="F3" t="n">
        <v>19</v>
      </c>
      <c r="G3" t="n">
        <v>21</v>
      </c>
      <c r="H3" t="n">
        <v>20</v>
      </c>
      <c r="I3" t="n">
        <v>0.6</v>
      </c>
      <c r="J3" t="n">
        <v>33.3</v>
      </c>
      <c r="K3" t="n">
        <v>125</v>
      </c>
      <c r="M3" t="inlineStr">
        <is>
          <t>normal</t>
        </is>
      </c>
      <c r="N3" t="n">
        <v>18</v>
      </c>
      <c r="O3" t="n">
        <v>1</v>
      </c>
      <c r="P3" t="n">
        <v>3</v>
      </c>
      <c r="Q3" t="inlineStr">
        <is>
          <t>normal</t>
        </is>
      </c>
      <c r="R3" t="inlineStr">
        <is>
          <t>hhou</t>
        </is>
      </c>
      <c r="AD3" t="n">
        <v>0</v>
      </c>
      <c r="AE3" t="n">
        <v>1250</v>
      </c>
      <c r="AF3" t="inlineStr">
        <is>
          <t>A03C,A028</t>
        </is>
      </c>
      <c r="AK3" t="inlineStr">
        <is>
          <t>Vindicator II (A03C); Sell Tower (A028)</t>
        </is>
      </c>
      <c r="AL3" t="n">
        <v>33.3</v>
      </c>
      <c r="AM3" t="n">
        <v>3.5</v>
      </c>
      <c r="AN3">
        <f>AL3*AM3</f>
        <v/>
      </c>
      <c r="AQ3">
        <f>AN3+N(AO3)+N(AP3)</f>
        <v/>
      </c>
      <c r="AR3">
        <f>IF(C3=0,"",AQ3/C3)</f>
        <v/>
      </c>
      <c r="AS3">
        <f>IF(C3=0,"",AR3*(K3/725))</f>
        <v/>
      </c>
      <c r="AT3">
        <f>(K3/725)^2</f>
        <v/>
      </c>
      <c r="AU3">
        <f>IF(C3=0,"",AR3*AT3)</f>
        <v/>
      </c>
      <c r="AV3" t="inlineStr">
        <is>
          <t>basic attack</t>
        </is>
      </c>
    </row>
    <row r="4">
      <c r="A4" t="inlineStr">
        <is>
          <t>h03P</t>
        </is>
      </c>
      <c r="B4" t="inlineStr">
        <is>
          <t>Equipped Peasant 2</t>
        </is>
      </c>
      <c r="C4" t="n">
        <v>10</v>
      </c>
      <c r="D4" t="n">
        <v>0</v>
      </c>
      <c r="F4" t="n">
        <v>20</v>
      </c>
      <c r="G4" t="n">
        <v>22</v>
      </c>
      <c r="H4" t="n">
        <v>21</v>
      </c>
      <c r="I4" t="n">
        <v>0.6</v>
      </c>
      <c r="J4" t="n">
        <v>35</v>
      </c>
      <c r="K4" t="n">
        <v>125</v>
      </c>
      <c r="M4" t="inlineStr">
        <is>
          <t>normal</t>
        </is>
      </c>
      <c r="N4" t="n">
        <v>19</v>
      </c>
      <c r="O4" t="n">
        <v>1</v>
      </c>
      <c r="P4" t="n">
        <v>3</v>
      </c>
      <c r="Q4" t="inlineStr">
        <is>
          <t>normal</t>
        </is>
      </c>
      <c r="R4" t="inlineStr">
        <is>
          <t>hhou</t>
        </is>
      </c>
      <c r="AD4" t="n">
        <v>0</v>
      </c>
      <c r="AE4" t="n">
        <v>1500</v>
      </c>
      <c r="AF4" t="inlineStr">
        <is>
          <t>A03C,A004,A028</t>
        </is>
      </c>
      <c r="AK4" t="inlineStr">
        <is>
          <t>Vindicator II (A03C); Versatile Critical Strike I (A004); Sell Tower (A028)</t>
        </is>
      </c>
      <c r="AL4" t="n">
        <v>35</v>
      </c>
      <c r="AM4" t="n">
        <v>3.5</v>
      </c>
      <c r="AN4">
        <f>AL4*AM4</f>
        <v/>
      </c>
      <c r="AQ4">
        <f>AN4+N(AO4)+N(AP4)</f>
        <v/>
      </c>
      <c r="AR4">
        <f>IF(C4=0,"",AQ4/C4)</f>
        <v/>
      </c>
      <c r="AS4">
        <f>IF(C4=0,"",AR4*(K4/725))</f>
        <v/>
      </c>
      <c r="AT4">
        <f>(K4/725)^2</f>
        <v/>
      </c>
      <c r="AU4">
        <f>IF(C4=0,"",AR4*AT4)</f>
        <v/>
      </c>
      <c r="AV4" t="inlineStr">
        <is>
          <t>basic attack</t>
        </is>
      </c>
    </row>
    <row r="5">
      <c r="A5" t="inlineStr">
        <is>
          <t>h04O</t>
        </is>
      </c>
      <c r="B5" t="inlineStr">
        <is>
          <t>Equipped Peasant 3</t>
        </is>
      </c>
      <c r="C5" t="n">
        <v>10</v>
      </c>
      <c r="D5" t="n">
        <v>0</v>
      </c>
      <c r="F5" t="n">
        <v>22</v>
      </c>
      <c r="G5" t="n">
        <v>26</v>
      </c>
      <c r="H5" t="n">
        <v>24</v>
      </c>
      <c r="I5" t="n">
        <v>0.6</v>
      </c>
      <c r="J5" t="n">
        <v>40</v>
      </c>
      <c r="K5" t="n">
        <v>125</v>
      </c>
      <c r="M5" t="inlineStr">
        <is>
          <t>normal</t>
        </is>
      </c>
      <c r="N5" t="n">
        <v>21</v>
      </c>
      <c r="O5" t="n">
        <v>1</v>
      </c>
      <c r="P5" t="n">
        <v>5</v>
      </c>
      <c r="Q5" t="inlineStr">
        <is>
          <t>normal</t>
        </is>
      </c>
      <c r="R5" t="inlineStr">
        <is>
          <t>hhou</t>
        </is>
      </c>
      <c r="AD5" t="n">
        <v>1</v>
      </c>
      <c r="AE5" t="n">
        <v>1750</v>
      </c>
      <c r="AF5" t="inlineStr">
        <is>
          <t>A03C,A01E,A028</t>
        </is>
      </c>
      <c r="AK5" t="inlineStr">
        <is>
          <t>Vindicator II (A03C); Versatile Critical Strike II (A01E); Sell Tower (A028)</t>
        </is>
      </c>
      <c r="AL5" t="n">
        <v>40</v>
      </c>
      <c r="AM5" t="n">
        <v>3.5</v>
      </c>
      <c r="AN5">
        <f>AL5*AM5</f>
        <v/>
      </c>
      <c r="AQ5">
        <f>AN5+N(AO5)+N(AP5)</f>
        <v/>
      </c>
      <c r="AR5">
        <f>IF(C5=0,"",AQ5/C5)</f>
        <v/>
      </c>
      <c r="AS5">
        <f>IF(C5=0,"",AR5*(K5/725))</f>
        <v/>
      </c>
      <c r="AT5">
        <f>(K5/725)^2</f>
        <v/>
      </c>
      <c r="AU5">
        <f>IF(C5=0,"",AR5*AT5)</f>
        <v/>
      </c>
      <c r="AV5" t="inlineStr">
        <is>
          <t>basic attack</t>
        </is>
      </c>
    </row>
    <row r="6">
      <c r="A6" t="inlineStr">
        <is>
          <t>h04P</t>
        </is>
      </c>
      <c r="B6" t="inlineStr">
        <is>
          <t>Equipped Peasant 4</t>
        </is>
      </c>
      <c r="C6" t="n">
        <v>10</v>
      </c>
      <c r="D6" t="n">
        <v>0</v>
      </c>
      <c r="F6" t="n">
        <v>25</v>
      </c>
      <c r="G6" t="n">
        <v>31</v>
      </c>
      <c r="H6" t="n">
        <v>28</v>
      </c>
      <c r="I6" t="n">
        <v>0.6</v>
      </c>
      <c r="J6" t="n">
        <v>46.7</v>
      </c>
      <c r="K6" t="n">
        <v>125</v>
      </c>
      <c r="M6" t="inlineStr">
        <is>
          <t>normal</t>
        </is>
      </c>
      <c r="N6" t="n">
        <v>24</v>
      </c>
      <c r="O6" t="n">
        <v>1</v>
      </c>
      <c r="P6" t="n">
        <v>7</v>
      </c>
      <c r="Q6" t="inlineStr">
        <is>
          <t>normal</t>
        </is>
      </c>
      <c r="R6" t="inlineStr">
        <is>
          <t>hhou</t>
        </is>
      </c>
      <c r="AD6" t="n">
        <v>2</v>
      </c>
      <c r="AE6" t="n">
        <v>2000</v>
      </c>
      <c r="AF6" t="inlineStr">
        <is>
          <t>A02Z,A01E,A028</t>
        </is>
      </c>
      <c r="AK6" t="inlineStr">
        <is>
          <t>Vindicator III (A02Z); Versatile Critical Strike II (A01E); Sell Tower (A028)</t>
        </is>
      </c>
      <c r="AL6" t="n">
        <v>46.7</v>
      </c>
      <c r="AM6" t="n">
        <v>5.5</v>
      </c>
      <c r="AN6">
        <f>AL6*AM6</f>
        <v/>
      </c>
      <c r="AQ6">
        <f>AN6+N(AO6)+N(AP6)</f>
        <v/>
      </c>
      <c r="AR6">
        <f>IF(C6=0,"",AQ6/C6)</f>
        <v/>
      </c>
      <c r="AS6">
        <f>IF(C6=0,"",AR6*(K6/725))</f>
        <v/>
      </c>
      <c r="AT6">
        <f>(K6/725)^2</f>
        <v/>
      </c>
      <c r="AU6">
        <f>IF(C6=0,"",AR6*AT6)</f>
        <v/>
      </c>
      <c r="AV6" t="inlineStr">
        <is>
          <t>basic attack</t>
        </is>
      </c>
    </row>
    <row r="7">
      <c r="A7" t="inlineStr">
        <is>
          <t>h04Q</t>
        </is>
      </c>
      <c r="B7" t="inlineStr">
        <is>
          <t>Equipped Peasant 5</t>
        </is>
      </c>
      <c r="C7" t="n">
        <v>10</v>
      </c>
      <c r="D7" t="n">
        <v>0</v>
      </c>
      <c r="F7" t="n">
        <v>39</v>
      </c>
      <c r="G7" t="n">
        <v>47</v>
      </c>
      <c r="H7" t="n">
        <v>43</v>
      </c>
      <c r="I7" t="n">
        <v>0.6</v>
      </c>
      <c r="J7" t="n">
        <v>71.7</v>
      </c>
      <c r="K7" t="n">
        <v>125</v>
      </c>
      <c r="M7" t="inlineStr">
        <is>
          <t>normal</t>
        </is>
      </c>
      <c r="N7" t="n">
        <v>38</v>
      </c>
      <c r="O7" t="n">
        <v>1</v>
      </c>
      <c r="P7" t="n">
        <v>9</v>
      </c>
      <c r="Q7" t="inlineStr">
        <is>
          <t>normal</t>
        </is>
      </c>
      <c r="R7" t="inlineStr">
        <is>
          <t>hhou</t>
        </is>
      </c>
      <c r="AD7" t="n">
        <v>4</v>
      </c>
      <c r="AE7" t="n">
        <v>2250</v>
      </c>
      <c r="AF7" t="inlineStr">
        <is>
          <t>ANbh,A02Z,A01E,A028</t>
        </is>
      </c>
      <c r="AK7" t="inlineStr">
        <is>
          <t>Bash I (ANbh); Vindicator III (A02Z); Versatile Critical Strike II (A01E); Sell Tower (A028)</t>
        </is>
      </c>
      <c r="AL7" t="n">
        <v>71.7</v>
      </c>
      <c r="AM7" t="n">
        <v>5.5</v>
      </c>
      <c r="AN7">
        <f>AL7*AM7</f>
        <v/>
      </c>
      <c r="AO7" t="n">
        <v>16.7</v>
      </c>
      <c r="AQ7">
        <f>AN7+N(AO7)+N(AP7)</f>
        <v/>
      </c>
      <c r="AR7">
        <f>IF(C7=0,"",AQ7/C7)</f>
        <v/>
      </c>
      <c r="AS7">
        <f>IF(C7=0,"",AR7*(K7/725))</f>
        <v/>
      </c>
      <c r="AT7">
        <f>(K7/725)^2</f>
        <v/>
      </c>
      <c r="AU7">
        <f>IF(C7=0,"",AR7*AT7)</f>
        <v/>
      </c>
      <c r="AV7" t="inlineStr">
        <is>
          <t>basic attack</t>
        </is>
      </c>
    </row>
    <row r="8">
      <c r="A8" t="inlineStr">
        <is>
          <t>h00R</t>
        </is>
      </c>
      <c r="B8" t="inlineStr">
        <is>
          <t>Exiled Soul</t>
        </is>
      </c>
      <c r="C8" t="n">
        <v>60</v>
      </c>
      <c r="D8" t="n">
        <v>0</v>
      </c>
      <c r="F8" t="n">
        <v>55</v>
      </c>
      <c r="G8" t="n">
        <v>57</v>
      </c>
      <c r="H8" t="n">
        <v>56</v>
      </c>
      <c r="I8" t="n">
        <v>0.2</v>
      </c>
      <c r="J8" t="n">
        <v>280</v>
      </c>
      <c r="K8" t="n">
        <v>600</v>
      </c>
      <c r="L8" t="inlineStr">
        <is>
          <t>chaos</t>
        </is>
      </c>
      <c r="M8" t="inlineStr">
        <is>
          <t>missile</t>
        </is>
      </c>
      <c r="N8" t="n">
        <v>54</v>
      </c>
      <c r="O8" t="n">
        <v>1</v>
      </c>
      <c r="P8" t="n">
        <v>3</v>
      </c>
      <c r="Q8" t="inlineStr">
        <is>
          <t>chaos</t>
        </is>
      </c>
      <c r="R8" t="inlineStr">
        <is>
          <t>hhou</t>
        </is>
      </c>
      <c r="AD8" t="n">
        <v>2</v>
      </c>
      <c r="AE8" t="n">
        <v>1500</v>
      </c>
      <c r="AF8" t="inlineStr">
        <is>
          <t>A03W,A028,Afra</t>
        </is>
      </c>
      <c r="AG8" t="inlineStr">
        <is>
          <t>Up g rade to Exiled Soul</t>
        </is>
      </c>
      <c r="AK8" t="inlineStr">
        <is>
          <t>Regeneration (A03W); Sell Tower (A028); Frost I (Afra)</t>
        </is>
      </c>
      <c r="AL8" t="n">
        <v>280</v>
      </c>
      <c r="AM8" t="n">
        <v>1</v>
      </c>
      <c r="AN8">
        <f>AL8*AM8</f>
        <v/>
      </c>
      <c r="AQ8">
        <f>AN8+N(AO8)+N(AP8)</f>
        <v/>
      </c>
      <c r="AR8">
        <f>IF(C8=0,"",AQ8/C8)</f>
        <v/>
      </c>
      <c r="AS8">
        <f>IF(C8=0,"",AR8*(K8/725))</f>
        <v/>
      </c>
      <c r="AT8">
        <f>(K8/725)^2</f>
        <v/>
      </c>
      <c r="AU8">
        <f>IF(C8=0,"",AR8*AT8)</f>
        <v/>
      </c>
      <c r="AV8" t="inlineStr">
        <is>
          <t>basic attack</t>
        </is>
      </c>
    </row>
    <row r="9">
      <c r="A9" t="inlineStr">
        <is>
          <t>h01J</t>
        </is>
      </c>
      <c r="B9" t="inlineStr">
        <is>
          <t>Father Dragon</t>
        </is>
      </c>
      <c r="C9" t="n">
        <v>105</v>
      </c>
      <c r="D9" t="n">
        <v>0</v>
      </c>
      <c r="F9" t="n">
        <v>298</v>
      </c>
      <c r="G9" t="n">
        <v>298</v>
      </c>
      <c r="H9" t="n">
        <v>298</v>
      </c>
      <c r="I9" t="n">
        <v>0.7</v>
      </c>
      <c r="J9" t="n">
        <v>425.7</v>
      </c>
      <c r="K9" t="n">
        <v>600</v>
      </c>
      <c r="L9" t="inlineStr">
        <is>
          <t>magic</t>
        </is>
      </c>
      <c r="M9" t="inlineStr">
        <is>
          <t>missile</t>
        </is>
      </c>
      <c r="N9" t="n">
        <v>297</v>
      </c>
      <c r="O9" t="n">
        <v>1</v>
      </c>
      <c r="P9" t="n">
        <v>1</v>
      </c>
      <c r="Q9" t="inlineStr">
        <is>
          <t>magic</t>
        </is>
      </c>
      <c r="R9" t="inlineStr">
        <is>
          <t>hhou</t>
        </is>
      </c>
      <c r="AD9" t="n">
        <v>2</v>
      </c>
      <c r="AE9" t="n">
        <v>1500</v>
      </c>
      <c r="AF9" t="inlineStr">
        <is>
          <t>A03D,A028,A006,A008</t>
        </is>
      </c>
      <c r="AG9" t="inlineStr">
        <is>
          <t>U pgrade to Father Dragon</t>
        </is>
      </c>
      <c r="AH9" t="inlineStr">
        <is>
          <t>tempest</t>
        </is>
      </c>
      <c r="AI9" t="inlineStr">
        <is>
          <t>D2</t>
        </is>
      </c>
      <c r="AJ9" t="inlineStr">
        <is>
          <t xml:space="preserve">AIR CRITICAL STRIKE II identified 2026-09-05 (the Royal Family named the tier: 50% x4). RESOLVED 2026-09-05: the trait is named "Boss Assassin" but TARGETS HEROES - the owner read "boss assassin II (50% x8 against heroes)" on a Royal Family tower. So the earlier boss-vs-hero ambiguity was the GAME conflating them, not a transcription slip. Both readings were right. DUAL crit (air AND boss) at 50% x4 each. 16.78 range-adjusted against either. Its 600 range is short for the kit. </t>
        </is>
      </c>
      <c r="AK9" t="inlineStr">
        <is>
          <t>Boss Assassin I (A03D); Sell Tower (A028); Air Critical Strike II (A006); Slow Poison II (A008)</t>
        </is>
      </c>
      <c r="AL9" t="n">
        <v>425.7</v>
      </c>
      <c r="AM9" t="n">
        <v>2.5</v>
      </c>
      <c r="AN9">
        <f>AL9*AM9</f>
        <v/>
      </c>
      <c r="AP9" t="n">
        <v>36</v>
      </c>
      <c r="AQ9">
        <f>AN9+N(AO9)+N(AP9)</f>
        <v/>
      </c>
      <c r="AR9">
        <f>IF(C9=0,"",AQ9/C9)</f>
        <v/>
      </c>
      <c r="AS9">
        <f>IF(C9=0,"",AR9*(K9/725))</f>
        <v/>
      </c>
      <c r="AT9">
        <f>(K9/725)^2</f>
        <v/>
      </c>
      <c r="AU9">
        <f>IF(C9=0,"",AR9*AT9)</f>
        <v/>
      </c>
      <c r="AV9" t="inlineStr">
        <is>
          <t>basic attack</t>
        </is>
      </c>
    </row>
    <row r="10">
      <c r="A10" t="inlineStr">
        <is>
          <t>h00H</t>
        </is>
      </c>
      <c r="B10" t="inlineStr">
        <is>
          <t>Footman</t>
        </is>
      </c>
      <c r="C10" t="n">
        <v>45</v>
      </c>
      <c r="D10" t="n">
        <v>0</v>
      </c>
      <c r="F10" t="n">
        <v>85</v>
      </c>
      <c r="G10" t="n">
        <v>89</v>
      </c>
      <c r="H10" t="n">
        <v>87</v>
      </c>
      <c r="I10" t="n">
        <v>0.3</v>
      </c>
      <c r="J10" t="n">
        <v>290</v>
      </c>
      <c r="K10" t="n">
        <v>125</v>
      </c>
      <c r="M10" t="inlineStr">
        <is>
          <t>normal</t>
        </is>
      </c>
      <c r="N10" t="n">
        <v>84</v>
      </c>
      <c r="O10" t="n">
        <v>1</v>
      </c>
      <c r="P10" t="n">
        <v>5</v>
      </c>
      <c r="Q10" t="inlineStr">
        <is>
          <t>normal</t>
        </is>
      </c>
      <c r="R10" t="inlineStr">
        <is>
          <t>hhou</t>
        </is>
      </c>
      <c r="AD10" t="n">
        <v>1</v>
      </c>
      <c r="AE10" t="n">
        <v>1250</v>
      </c>
      <c r="AF10" t="inlineStr">
        <is>
          <t>ANbh,A028</t>
        </is>
      </c>
      <c r="AG10" t="inlineStr">
        <is>
          <t>U pgrade to Footman</t>
        </is>
      </c>
      <c r="AK10" t="inlineStr">
        <is>
          <t>Bash I (ANbh); Sell Tower (A028)</t>
        </is>
      </c>
      <c r="AL10" t="n">
        <v>290</v>
      </c>
      <c r="AM10" t="n">
        <v>1</v>
      </c>
      <c r="AN10">
        <f>AL10*AM10</f>
        <v/>
      </c>
      <c r="AO10" t="n">
        <v>33.3</v>
      </c>
      <c r="AQ10">
        <f>AN10+N(AO10)+N(AP10)</f>
        <v/>
      </c>
      <c r="AR10">
        <f>IF(C10=0,"",AQ10/C10)</f>
        <v/>
      </c>
      <c r="AS10">
        <f>IF(C10=0,"",AR10*(K10/725))</f>
        <v/>
      </c>
      <c r="AT10">
        <f>(K10/725)^2</f>
        <v/>
      </c>
      <c r="AU10">
        <f>IF(C10=0,"",AR10*AT10)</f>
        <v/>
      </c>
      <c r="AV10" t="inlineStr">
        <is>
          <t>basic attack</t>
        </is>
      </c>
    </row>
    <row r="11">
      <c r="A11" t="inlineStr">
        <is>
          <t>h03O</t>
        </is>
      </c>
      <c r="B11" t="inlineStr">
        <is>
          <t>Heartseeker</t>
        </is>
      </c>
      <c r="C11" t="n">
        <v>45</v>
      </c>
      <c r="D11" t="n">
        <v>0</v>
      </c>
      <c r="F11" t="n">
        <v>23</v>
      </c>
      <c r="G11" t="n">
        <v>28</v>
      </c>
      <c r="H11" t="n">
        <v>25.5</v>
      </c>
      <c r="I11" t="n">
        <v>0.5</v>
      </c>
      <c r="J11" t="n">
        <v>51</v>
      </c>
      <c r="K11" t="n">
        <v>1150</v>
      </c>
      <c r="L11" t="inlineStr">
        <is>
          <t>chaos</t>
        </is>
      </c>
      <c r="M11" t="inlineStr">
        <is>
          <t>instant</t>
        </is>
      </c>
      <c r="N11" t="n">
        <v>22</v>
      </c>
      <c r="O11" t="n">
        <v>1</v>
      </c>
      <c r="P11" t="n">
        <v>6</v>
      </c>
      <c r="Q11" t="inlineStr">
        <is>
          <t>chaos</t>
        </is>
      </c>
      <c r="R11" t="inlineStr">
        <is>
          <t>hhou</t>
        </is>
      </c>
      <c r="AD11" t="n">
        <v>2</v>
      </c>
      <c r="AE11" t="n">
        <v>1500</v>
      </c>
      <c r="AF11" t="inlineStr">
        <is>
          <t>Afbb,Aabr,AIva,A01E,A028</t>
        </is>
      </c>
      <c r="AG11" t="inlineStr">
        <is>
          <t>U pgrade to Heartseeker</t>
        </is>
      </c>
      <c r="AK11" t="inlineStr">
        <is>
          <t>Sunder Armor (Afbb); (Dummy Ability - Life Steal) (Aabr); AIva (AIva); Versatile Critical Strike II (A01E); Sell Tower (A028)</t>
        </is>
      </c>
      <c r="AL11" t="n">
        <v>51</v>
      </c>
      <c r="AM11" t="n">
        <v>2.05</v>
      </c>
      <c r="AN11">
        <f>AL11*AM11</f>
        <v/>
      </c>
      <c r="AQ11">
        <f>AN11+N(AO11)+N(AP11)</f>
        <v/>
      </c>
      <c r="AR11">
        <f>IF(C11=0,"",AQ11/C11)</f>
        <v/>
      </c>
      <c r="AS11">
        <f>IF(C11=0,"",AR11*(K11/725))</f>
        <v/>
      </c>
      <c r="AT11">
        <f>(K11/725)^2</f>
        <v/>
      </c>
      <c r="AU11">
        <f>IF(C11=0,"",AR11*AT11)</f>
        <v/>
      </c>
      <c r="AV11" t="inlineStr">
        <is>
          <t>basic attack</t>
        </is>
      </c>
    </row>
    <row r="12">
      <c r="A12" t="inlineStr">
        <is>
          <t>h048</t>
        </is>
      </c>
      <c r="B12" t="inlineStr">
        <is>
          <t>Krotas</t>
        </is>
      </c>
      <c r="C12" t="n">
        <v>1325</v>
      </c>
      <c r="D12" t="n">
        <v>0</v>
      </c>
      <c r="E12" t="n">
        <v>1</v>
      </c>
      <c r="F12" t="n">
        <v>851</v>
      </c>
      <c r="G12" t="n">
        <v>858</v>
      </c>
      <c r="H12" t="n">
        <v>854.5</v>
      </c>
      <c r="I12" t="n">
        <v>0.33</v>
      </c>
      <c r="J12" t="n">
        <v>2589.4</v>
      </c>
      <c r="K12" t="n">
        <v>1500</v>
      </c>
      <c r="L12" t="inlineStr">
        <is>
          <t>chaos</t>
        </is>
      </c>
      <c r="M12" t="inlineStr">
        <is>
          <t>missile</t>
        </is>
      </c>
      <c r="N12" t="n">
        <v>850</v>
      </c>
      <c r="O12" t="n">
        <v>1</v>
      </c>
      <c r="P12" t="n">
        <v>8</v>
      </c>
      <c r="Q12" t="inlineStr">
        <is>
          <t>chaos</t>
        </is>
      </c>
      <c r="R12" t="inlineStr">
        <is>
          <t>hhou</t>
        </is>
      </c>
      <c r="AE12" t="n">
        <v>2500</v>
      </c>
      <c r="AF12" t="inlineStr">
        <is>
          <t>ANcl,A004,A02X,A014,A028</t>
        </is>
      </c>
      <c r="AG12" t="inlineStr">
        <is>
          <t>Up g rade to Krotas - 1325</t>
        </is>
      </c>
      <c r="AK12" t="inlineStr">
        <is>
          <t>Activate / Deactivate Mana Detection (ANcl); Versatile Critical Strike I (A004); Gooify (A02X); Combustion (A014); Sell Tower (A028)</t>
        </is>
      </c>
      <c r="AL12" t="n">
        <v>2589.4</v>
      </c>
      <c r="AM12" t="n">
        <v>1.52</v>
      </c>
      <c r="AN12">
        <f>AL12*AM12</f>
        <v/>
      </c>
      <c r="AQ12">
        <f>AN12+N(AO12)+N(AP12)</f>
        <v/>
      </c>
      <c r="AR12">
        <f>IF(C12=0,"",AQ12/C12)</f>
        <v/>
      </c>
      <c r="AS12">
        <f>IF(C12=0,"",AR12*(K12/725))</f>
        <v/>
      </c>
      <c r="AT12">
        <f>(K12/725)^2</f>
        <v/>
      </c>
      <c r="AU12">
        <f>IF(C12=0,"",AR12*AT12)</f>
        <v/>
      </c>
      <c r="AV12" t="inlineStr">
        <is>
          <t>basic attack</t>
        </is>
      </c>
    </row>
    <row r="13">
      <c r="A13" t="inlineStr">
        <is>
          <t>h04G</t>
        </is>
      </c>
      <c r="B13" t="inlineStr">
        <is>
          <t>Reaperspawn</t>
        </is>
      </c>
      <c r="C13" t="n">
        <v>50</v>
      </c>
      <c r="D13" t="n">
        <v>0</v>
      </c>
      <c r="F13" t="n">
        <v>287</v>
      </c>
      <c r="G13" t="n">
        <v>287</v>
      </c>
      <c r="H13" t="n">
        <v>287</v>
      </c>
      <c r="I13" t="n">
        <v>0.8</v>
      </c>
      <c r="J13" t="n">
        <v>358.8</v>
      </c>
      <c r="K13" t="n">
        <v>125</v>
      </c>
      <c r="L13" t="inlineStr">
        <is>
          <t>chaos</t>
        </is>
      </c>
      <c r="M13" t="inlineStr">
        <is>
          <t>normal</t>
        </is>
      </c>
      <c r="N13" t="n">
        <v>286</v>
      </c>
      <c r="O13" t="n">
        <v>1</v>
      </c>
      <c r="P13" t="n">
        <v>1</v>
      </c>
      <c r="Q13" t="inlineStr">
        <is>
          <t>chaos</t>
        </is>
      </c>
      <c r="R13" t="inlineStr">
        <is>
          <t>hhou</t>
        </is>
      </c>
      <c r="AD13" t="n">
        <v>2</v>
      </c>
      <c r="AE13" t="n">
        <v>1500</v>
      </c>
      <c r="AF13" t="inlineStr">
        <is>
          <t>A006,A028,ACvp</t>
        </is>
      </c>
      <c r="AG13" t="inlineStr">
        <is>
          <t>Up g rade to Reaperspawn</t>
        </is>
      </c>
      <c r="AH13" t="inlineStr">
        <is>
          <t>tempest</t>
        </is>
      </c>
      <c r="AI13" t="inlineStr">
        <is>
          <t>D2</t>
        </is>
      </c>
      <c r="AJ13" t="inlineStr">
        <is>
          <t>AIR CRITICAL STRIKE II identified 2026-09-05 (the Royal Family named the tier: 50% x4). CHAOS attack type - the kit's ONLY non-magic tower. In stock WC3 chaos deals full damage to every armour type, i.e. it ignores the matrix entirely; UNVERIFIED for this map. Melee, but DOES hit air when the flyer passes directly above it (owner 2026-09-05) - so it is a positional anti-air, not a blind spot. 23.90 raw dps/gold is among the best recorded, but it is unadjustable for range and demands exact placement under the flight path.</t>
        </is>
      </c>
      <c r="AK13" t="inlineStr">
        <is>
          <t>Air Critical Strike II (A006); Sell Tower (A028); Vampiric Aura (ACvp)</t>
        </is>
      </c>
      <c r="AL13" t="n">
        <v>358.8</v>
      </c>
      <c r="AM13" t="n">
        <v>2.5</v>
      </c>
      <c r="AN13">
        <f>AL13*AM13</f>
        <v/>
      </c>
      <c r="AQ13">
        <f>AN13+N(AO13)+N(AP13)</f>
        <v/>
      </c>
      <c r="AR13">
        <f>IF(C13=0,"",AQ13/C13)</f>
        <v/>
      </c>
      <c r="AS13">
        <f>IF(C13=0,"",AR13*(K13/725))</f>
        <v/>
      </c>
      <c r="AT13">
        <f>(K13/725)^2</f>
        <v/>
      </c>
      <c r="AU13">
        <f>IF(C13=0,"",AR13*AT13)</f>
        <v/>
      </c>
      <c r="AV13" t="inlineStr">
        <is>
          <t>basic attack</t>
        </is>
      </c>
    </row>
    <row r="14">
      <c r="A14" t="inlineStr">
        <is>
          <t>h017</t>
        </is>
      </c>
      <c r="B14" t="inlineStr">
        <is>
          <t>Sewage Surprise</t>
        </is>
      </c>
      <c r="C14" t="n">
        <v>105</v>
      </c>
      <c r="D14" t="n">
        <v>0</v>
      </c>
      <c r="F14" t="n">
        <v>246</v>
      </c>
      <c r="G14" t="n">
        <v>246</v>
      </c>
      <c r="H14" t="n">
        <v>246</v>
      </c>
      <c r="I14" t="n">
        <v>0.85</v>
      </c>
      <c r="J14" t="n">
        <v>289.4</v>
      </c>
      <c r="K14" t="n">
        <v>800</v>
      </c>
      <c r="L14" t="inlineStr">
        <is>
          <t>magic</t>
        </is>
      </c>
      <c r="M14" t="inlineStr">
        <is>
          <t>msplash</t>
        </is>
      </c>
      <c r="N14" t="n">
        <v>245</v>
      </c>
      <c r="O14" t="n">
        <v>1</v>
      </c>
      <c r="P14" t="n">
        <v>1</v>
      </c>
      <c r="Q14" t="inlineStr">
        <is>
          <t>magic</t>
        </is>
      </c>
      <c r="R14" t="inlineStr">
        <is>
          <t>hhou</t>
        </is>
      </c>
      <c r="AD14" t="n">
        <v>7</v>
      </c>
      <c r="AE14" t="n">
        <v>1500</v>
      </c>
      <c r="AF14" t="inlineStr">
        <is>
          <t>A03Y,A021,A028,Afra</t>
        </is>
      </c>
      <c r="AG14" t="inlineStr">
        <is>
          <t>U pgrade to Sewage Surprise</t>
        </is>
      </c>
      <c r="AH14" t="inlineStr">
        <is>
          <t>specialist</t>
        </is>
      </c>
      <c r="AI14" t="inlineStr">
        <is>
          <t>D2</t>
        </is>
      </c>
      <c r="AJ14" t="inlineStr">
        <is>
          <t>MAGIC (owner 2026-09-06), where its BASE Sewer Barge is siege - so attack type is NOT inherited on upgrade. Consequence: the upgrade gains everywhere except FORTIFIED, where siege 160% vs magic 75% leaves the base nearly as strong as its own upgrade (8.10 vs 5.92). Upgrading is a downgrade on 1 wave in 5. THE AIR BRANCH: this is the T2 upgrade that leads to Interceptor and Arcadia. Choosing the other branch (Brahma Fix It Shop) forfeits the treant's only passive air answer on that Sewer Barge. 'crit mecha like base' - the anti-mecha crit carries.</t>
        </is>
      </c>
      <c r="AK14" t="inlineStr">
        <is>
          <t>Machine Critical Strike (A03Y); Splash (A021); Sell Tower (A028); Frost I (Afra)</t>
        </is>
      </c>
      <c r="AL14" t="n">
        <v>289.4</v>
      </c>
      <c r="AM14" t="n">
        <v>1.8</v>
      </c>
      <c r="AN14">
        <f>AL14*AM14</f>
        <v/>
      </c>
      <c r="AQ14">
        <f>AN14+N(AO14)+N(AP14)</f>
        <v/>
      </c>
      <c r="AR14">
        <f>IF(C14=0,"",AQ14/C14)</f>
        <v/>
      </c>
      <c r="AS14">
        <f>IF(C14=0,"",AR14*(K14/725))</f>
        <v/>
      </c>
      <c r="AT14">
        <f>(K14/725)^2</f>
        <v/>
      </c>
      <c r="AU14">
        <f>IF(C14=0,"",AR14*AT14)</f>
        <v/>
      </c>
      <c r="AV14" t="inlineStr">
        <is>
          <t>basic attack</t>
        </is>
      </c>
    </row>
    <row r="15">
      <c r="A15" t="inlineStr">
        <is>
          <t>h047</t>
        </is>
      </c>
      <c r="B15" t="inlineStr">
        <is>
          <t>Von Chillspeak</t>
        </is>
      </c>
      <c r="C15" t="n">
        <v>1225</v>
      </c>
      <c r="D15" t="n">
        <v>0</v>
      </c>
      <c r="E15" t="n">
        <v>1</v>
      </c>
      <c r="F15" t="n">
        <v>12000</v>
      </c>
      <c r="G15" t="n">
        <v>12000</v>
      </c>
      <c r="H15" t="n">
        <v>12000</v>
      </c>
      <c r="I15" t="n">
        <v>2</v>
      </c>
      <c r="J15" t="n">
        <v>6000</v>
      </c>
      <c r="K15" t="n">
        <v>1150</v>
      </c>
      <c r="L15" t="inlineStr">
        <is>
          <t>chaos</t>
        </is>
      </c>
      <c r="M15" t="inlineStr">
        <is>
          <t>missile</t>
        </is>
      </c>
      <c r="N15" t="n">
        <v>11999</v>
      </c>
      <c r="O15" t="n">
        <v>1</v>
      </c>
      <c r="P15" t="n">
        <v>1</v>
      </c>
      <c r="Q15" t="inlineStr">
        <is>
          <t>chaos</t>
        </is>
      </c>
      <c r="R15" t="inlineStr">
        <is>
          <t>hhou</t>
        </is>
      </c>
      <c r="AE15" t="n">
        <v>2500</v>
      </c>
      <c r="AF15" t="inlineStr">
        <is>
          <t>ANcl,Afrz,Aap1,AIm2,A028</t>
        </is>
      </c>
      <c r="AG15" t="inlineStr">
        <is>
          <t>U pgrade to Von Chillspeak - 1225</t>
        </is>
      </c>
      <c r="AK15" t="inlineStr">
        <is>
          <t>Activate / Deactivate Mana Detection (ANcl); Stone Cold (Afrz); Grounding Curse (Aap1); Cold Snap (AIm2); Sell Tower (A028)</t>
        </is>
      </c>
      <c r="AL15" t="n">
        <v>6000</v>
      </c>
      <c r="AM15" t="n">
        <v>1</v>
      </c>
      <c r="AN15">
        <f>AL15*AM15</f>
        <v/>
      </c>
      <c r="AP15" t="n">
        <v>1000</v>
      </c>
      <c r="AQ15">
        <f>AN15+N(AO15)+N(AP15)</f>
        <v/>
      </c>
      <c r="AR15">
        <f>IF(C15=0,"",AQ15/C15)</f>
        <v/>
      </c>
      <c r="AS15">
        <f>IF(C15=0,"",AR15*(K15/725))</f>
        <v/>
      </c>
      <c r="AT15">
        <f>(K15/725)^2</f>
        <v/>
      </c>
      <c r="AU15">
        <f>IF(C15=0,"",AR15*AT15)</f>
        <v/>
      </c>
      <c r="AV15" t="inlineStr">
        <is>
          <t>basic attack</t>
        </is>
      </c>
    </row>
  </sheetData>
  <autoFilter ref="A1:AV1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U20"/>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9" customWidth="1" min="3" max="3"/>
    <col width="11" customWidth="1" min="4" max="4"/>
    <col width="9" customWidth="1" min="5" max="5"/>
    <col width="15" customWidth="1" min="6" max="6"/>
    <col width="24" customWidth="1" min="7" max="7"/>
    <col width="48" customWidth="1" min="8" max="8"/>
    <col width="31" customWidth="1" min="9" max="9"/>
    <col width="10" customWidth="1" min="10" max="10"/>
    <col width="10" customWidth="1" min="11" max="11"/>
    <col width="11" customWidth="1" min="12" max="12"/>
    <col width="15" customWidth="1" min="13" max="13"/>
    <col width="12" customWidth="1" min="14" max="14"/>
    <col width="11" customWidth="1" min="15" max="15"/>
    <col width="10" customWidth="1" min="16" max="16"/>
    <col width="10" customWidth="1" min="17" max="17"/>
    <col width="10" customWidth="1" min="18" max="18"/>
    <col width="11" customWidth="1" min="19" max="19"/>
    <col width="15" customWidth="1" min="20" max="20"/>
    <col width="12" customWidth="1" min="21" max="21"/>
    <col width="11" customWidth="1" min="22" max="22"/>
    <col width="10" customWidth="1" min="23" max="23"/>
    <col width="31" customWidth="1" min="24" max="24"/>
    <col width="13" customWidth="1" min="25" max="25"/>
    <col width="14" customWidth="1" min="26" max="26"/>
    <col width="9" customWidth="1" min="27" max="27"/>
    <col width="13" customWidth="1" min="28" max="28"/>
    <col width="13" customWidth="1" min="29" max="29"/>
    <col width="11" customWidth="1" min="30" max="30"/>
    <col width="11" customWidth="1" min="31" max="31"/>
    <col width="12" customWidth="1" min="32" max="32"/>
    <col width="20" customWidth="1" min="33" max="33"/>
    <col width="11" customWidth="1" min="34" max="34"/>
    <col width="26" customWidth="1" min="35" max="35"/>
    <col width="36" customWidth="1" min="36" max="36"/>
    <col width="9" customWidth="1" min="37" max="37"/>
    <col width="17" customWidth="1" min="38" max="38"/>
    <col width="15" customWidth="1" min="39" max="39"/>
    <col width="14" customWidth="1" min="40" max="40"/>
    <col width="17" customWidth="1" min="41" max="41"/>
    <col width="27" customWidth="1" min="42" max="42"/>
    <col width="12" customWidth="1" min="43" max="43"/>
    <col width="9" customWidth="1" min="44" max="44"/>
    <col width="15" customWidth="1" min="45" max="45"/>
    <col width="22" customWidth="1" min="46" max="46"/>
    <col width="14" customWidth="1" min="47" max="47"/>
  </cols>
  <sheetData>
    <row r="1">
      <c r="A1" s="1" t="inlineStr">
        <is>
          <t>name</t>
        </is>
      </c>
      <c r="B1" s="1" t="inlineStr">
        <is>
          <t>unit_id</t>
        </is>
      </c>
      <c r="C1" s="1" t="inlineStr">
        <is>
          <t>tier</t>
        </is>
      </c>
      <c r="D1" s="1" t="inlineStr">
        <is>
          <t>cost_gold</t>
        </is>
      </c>
      <c r="E1" s="1" t="inlineStr">
        <is>
          <t>food</t>
        </is>
      </c>
      <c r="F1" s="1" t="inlineStr">
        <is>
          <t>upgrades_from</t>
        </is>
      </c>
      <c r="G1" s="1" t="inlineStr">
        <is>
          <t>upgrades_to</t>
        </is>
      </c>
      <c r="H1" s="1" t="inlineStr">
        <is>
          <t>traits</t>
        </is>
      </c>
      <c r="I1" s="1" t="inlineStr">
        <is>
          <t>targets</t>
        </is>
      </c>
      <c r="J1" s="1" t="inlineStr">
        <is>
          <t>atk1_min</t>
        </is>
      </c>
      <c r="K1" s="1" t="inlineStr">
        <is>
          <t>atk1_max</t>
        </is>
      </c>
      <c r="L1" s="1" t="inlineStr">
        <is>
          <t>atk1_mean</t>
        </is>
      </c>
      <c r="M1" s="1" t="inlineStr">
        <is>
          <t>atk1_cooldown</t>
        </is>
      </c>
      <c r="N1" s="1" t="inlineStr">
        <is>
          <t>atk1_range</t>
        </is>
      </c>
      <c r="O1" s="1" t="inlineStr">
        <is>
          <t>atk1_type</t>
        </is>
      </c>
      <c r="P1" s="1" t="inlineStr">
        <is>
          <t>atk1_dps</t>
        </is>
      </c>
      <c r="Q1" s="1" t="inlineStr">
        <is>
          <t>atk2_min</t>
        </is>
      </c>
      <c r="R1" s="1" t="inlineStr">
        <is>
          <t>atk2_max</t>
        </is>
      </c>
      <c r="S1" s="1" t="inlineStr">
        <is>
          <t>atk2_mean</t>
        </is>
      </c>
      <c r="T1" s="1" t="inlineStr">
        <is>
          <t>atk2_cooldown</t>
        </is>
      </c>
      <c r="U1" s="1" t="inlineStr">
        <is>
          <t>atk2_range</t>
        </is>
      </c>
      <c r="V1" s="1" t="inlineStr">
        <is>
          <t>atk2_type</t>
        </is>
      </c>
      <c r="W1" s="1" t="inlineStr">
        <is>
          <t>atk2_dps</t>
        </is>
      </c>
      <c r="X1" s="1" t="inlineStr">
        <is>
          <t>splash_targets</t>
        </is>
      </c>
      <c r="Y1" s="1" t="inlineStr">
        <is>
          <t>armour_type</t>
        </is>
      </c>
      <c r="Z1" s="1" t="inlineStr">
        <is>
          <t>armour_value</t>
        </is>
      </c>
      <c r="AA1" s="1" t="inlineStr">
        <is>
          <t>hp</t>
        </is>
      </c>
      <c r="AB1" s="1" t="inlineStr">
        <is>
          <t>cost_lumber</t>
        </is>
      </c>
      <c r="AC1" s="1" t="inlineStr">
        <is>
          <t>atk1_weapon</t>
        </is>
      </c>
      <c r="AD1" s="1" t="inlineStr">
        <is>
          <t>atk1_base</t>
        </is>
      </c>
      <c r="AE1" s="1" t="inlineStr">
        <is>
          <t>atk1_dice</t>
        </is>
      </c>
      <c r="AF1" s="1" t="inlineStr">
        <is>
          <t>atk1_sides</t>
        </is>
      </c>
      <c r="AG1" s="1" t="inlineStr">
        <is>
          <t>atk1_type_resolved</t>
        </is>
      </c>
      <c r="AH1" s="1" t="inlineStr">
        <is>
          <t>base_unit</t>
        </is>
      </c>
      <c r="AI1" s="1" t="inlineStr">
        <is>
          <t>abilities</t>
        </is>
      </c>
      <c r="AJ1" s="1" t="inlineStr">
        <is>
          <t>tooltip</t>
        </is>
      </c>
      <c r="AK1" s="1" t="inlineStr">
        <is>
          <t>dps_raw</t>
        </is>
      </c>
      <c r="AL1" s="1" t="inlineStr">
        <is>
          <t>crit_multiplier</t>
        </is>
      </c>
      <c r="AM1" s="1" t="inlineStr">
        <is>
          <t>dps_with_crit</t>
        </is>
      </c>
      <c r="AN1" s="1" t="inlineStr">
        <is>
          <t>dps_per_gold</t>
        </is>
      </c>
      <c r="AO1" s="1" t="inlineStr">
        <is>
          <t>coverage_vs_725</t>
        </is>
      </c>
      <c r="AP1" s="1" t="inlineStr">
        <is>
          <t>dps_per_gold_coverage_adj</t>
        </is>
      </c>
      <c r="AQ1" s="1" t="inlineStr">
        <is>
          <t>on_hit_dps</t>
        </is>
      </c>
      <c r="AR1" s="1" t="inlineStr">
        <is>
          <t>dot_dps</t>
        </is>
      </c>
      <c r="AS1" s="1" t="inlineStr">
        <is>
          <t>dps_total_est</t>
        </is>
      </c>
      <c r="AT1" s="1" t="inlineStr">
        <is>
          <t>dps_per_gold_x_range</t>
        </is>
      </c>
      <c r="AU1" s="1" t="inlineStr">
        <is>
          <t>dps_source</t>
        </is>
      </c>
    </row>
    <row r="2">
      <c r="A2" t="inlineStr">
        <is>
          <t>Quickshot</t>
        </is>
      </c>
      <c r="B2" t="inlineStr">
        <is>
          <t>h006</t>
        </is>
      </c>
      <c r="C2" t="n">
        <v>1</v>
      </c>
      <c r="D2" t="n">
        <v>15</v>
      </c>
      <c r="E2" t="n">
        <v>0</v>
      </c>
      <c r="G2" t="inlineStr">
        <is>
          <t>Cross Bow</t>
        </is>
      </c>
      <c r="H2" t="inlineStr">
        <is>
          <t>Regeneration (A03W); Versatile Critical Strike I (A004)</t>
        </is>
      </c>
      <c r="I2" t="inlineStr">
        <is>
          <t>air,enemies,ground,nonancient</t>
        </is>
      </c>
      <c r="J2" t="n">
        <v>20</v>
      </c>
      <c r="K2" t="n">
        <v>23</v>
      </c>
      <c r="L2" t="n">
        <v>21.5</v>
      </c>
      <c r="M2" t="n">
        <v>0.7</v>
      </c>
      <c r="N2" t="n">
        <v>700</v>
      </c>
      <c r="O2" t="inlineStr">
        <is>
          <t>pierce</t>
        </is>
      </c>
      <c r="P2" t="n">
        <v>30.7</v>
      </c>
      <c r="Z2" t="n">
        <v>0</v>
      </c>
      <c r="AA2" t="n">
        <v>1000</v>
      </c>
      <c r="AB2" t="n">
        <v>0</v>
      </c>
      <c r="AC2" t="inlineStr">
        <is>
          <t>missile</t>
        </is>
      </c>
      <c r="AD2" t="n">
        <v>19</v>
      </c>
      <c r="AE2" t="n">
        <v>1</v>
      </c>
      <c r="AF2" t="n">
        <v>4</v>
      </c>
      <c r="AG2" t="inlineStr">
        <is>
          <t>pierce</t>
        </is>
      </c>
      <c r="AH2" t="inlineStr">
        <is>
          <t>hhou</t>
        </is>
      </c>
      <c r="AI2" t="inlineStr">
        <is>
          <t>A03W,A004,A028</t>
        </is>
      </c>
      <c r="AJ2" t="inlineStr">
        <is>
          <t>Build Quickshot ( Q )</t>
        </is>
      </c>
      <c r="AK2" t="n">
        <v>30.7</v>
      </c>
      <c r="AL2" t="n">
        <v>1.52</v>
      </c>
      <c r="AM2">
        <f>AK2*AL2</f>
        <v/>
      </c>
      <c r="AN2">
        <f>IF(D2=0,"",AS2/D2)</f>
        <v/>
      </c>
      <c r="AO2">
        <f>(N2/725)^2</f>
        <v/>
      </c>
      <c r="AP2">
        <f>IF(D2=0,"",AN2*AO2)</f>
        <v/>
      </c>
      <c r="AS2">
        <f>AM2+N(AQ2)+N(AR2)</f>
        <v/>
      </c>
      <c r="AT2">
        <f>IF(D2=0,"",AN2*(N2/725))</f>
        <v/>
      </c>
      <c r="AU2" t="inlineStr">
        <is>
          <t>basic attack</t>
        </is>
      </c>
    </row>
    <row r="3">
      <c r="A3" t="inlineStr">
        <is>
          <t>Cross Bow</t>
        </is>
      </c>
      <c r="B3" t="inlineStr">
        <is>
          <t>h002</t>
        </is>
      </c>
      <c r="C3" t="n">
        <v>2</v>
      </c>
      <c r="D3" t="n">
        <v>35</v>
      </c>
      <c r="E3" t="n">
        <v>0</v>
      </c>
      <c r="F3" t="inlineStr">
        <is>
          <t>Quickshot</t>
        </is>
      </c>
      <c r="H3" t="inlineStr">
        <is>
          <t>Regeneration (A03W); Versatile Critical Strike II (A01E)</t>
        </is>
      </c>
      <c r="I3" t="inlineStr">
        <is>
          <t>air,enemies,ground,nonancient</t>
        </is>
      </c>
      <c r="J3" t="n">
        <v>145</v>
      </c>
      <c r="K3" t="n">
        <v>158</v>
      </c>
      <c r="L3" t="n">
        <v>151.5</v>
      </c>
      <c r="M3" t="n">
        <v>0.9</v>
      </c>
      <c r="N3" t="n">
        <v>600</v>
      </c>
      <c r="O3" t="inlineStr">
        <is>
          <t>chaos</t>
        </is>
      </c>
      <c r="P3" t="n">
        <v>168.3</v>
      </c>
      <c r="Z3" t="n">
        <v>0</v>
      </c>
      <c r="AA3" t="n">
        <v>1250</v>
      </c>
      <c r="AB3" t="n">
        <v>0</v>
      </c>
      <c r="AC3" t="inlineStr">
        <is>
          <t>missile</t>
        </is>
      </c>
      <c r="AD3" t="n">
        <v>144</v>
      </c>
      <c r="AE3" t="n">
        <v>1</v>
      </c>
      <c r="AF3" t="n">
        <v>14</v>
      </c>
      <c r="AG3" t="inlineStr">
        <is>
          <t>chaos</t>
        </is>
      </c>
      <c r="AH3" t="inlineStr">
        <is>
          <t>hhou</t>
        </is>
      </c>
      <c r="AI3" t="inlineStr">
        <is>
          <t>A03W,A01E,A028</t>
        </is>
      </c>
      <c r="AJ3" t="inlineStr">
        <is>
          <t>U pgrade to Cross Bow</t>
        </is>
      </c>
      <c r="AK3" t="n">
        <v>168.3</v>
      </c>
      <c r="AL3" t="n">
        <v>2.05</v>
      </c>
      <c r="AM3">
        <f>AK3*AL3</f>
        <v/>
      </c>
      <c r="AN3">
        <f>IF(D3=0,"",AS3/D3)</f>
        <v/>
      </c>
      <c r="AO3">
        <f>(N3/725)^2</f>
        <v/>
      </c>
      <c r="AP3">
        <f>IF(D3=0,"",AN3*AO3)</f>
        <v/>
      </c>
      <c r="AS3">
        <f>AM3+N(AQ3)+N(AR3)</f>
        <v/>
      </c>
      <c r="AT3">
        <f>IF(D3=0,"",AN3*(N3/725))</f>
        <v/>
      </c>
      <c r="AU3" t="inlineStr">
        <is>
          <t>basic attack</t>
        </is>
      </c>
    </row>
    <row r="4">
      <c r="A4" t="inlineStr">
        <is>
          <t>Frigid Dryad</t>
        </is>
      </c>
      <c r="B4" t="inlineStr">
        <is>
          <t>h00A</t>
        </is>
      </c>
      <c r="C4" t="n">
        <v>1</v>
      </c>
      <c r="D4" t="n">
        <v>95</v>
      </c>
      <c r="E4" t="n">
        <v>0</v>
      </c>
      <c r="G4" t="inlineStr">
        <is>
          <t>The Pride of Moon Star</t>
        </is>
      </c>
      <c r="H4" t="inlineStr">
        <is>
          <t>Cure I (A03U); Air Critical Strike II (A006); Splash (A021); Frost I (Afra)</t>
        </is>
      </c>
      <c r="I4" t="inlineStr">
        <is>
          <t>air,enemies,ground,nonancient</t>
        </is>
      </c>
      <c r="J4" t="n">
        <v>57</v>
      </c>
      <c r="K4" t="n">
        <v>57</v>
      </c>
      <c r="L4" t="n">
        <v>57</v>
      </c>
      <c r="M4" t="n">
        <v>1</v>
      </c>
      <c r="N4" t="n">
        <v>700</v>
      </c>
      <c r="O4" t="inlineStr">
        <is>
          <t>chaos</t>
        </is>
      </c>
      <c r="P4" t="n">
        <v>57</v>
      </c>
      <c r="X4" t="inlineStr">
        <is>
          <t>air,enemies,ground,nonancient</t>
        </is>
      </c>
      <c r="Z4" t="n">
        <v>0</v>
      </c>
      <c r="AA4" t="n">
        <v>1500</v>
      </c>
      <c r="AB4" t="n">
        <v>0</v>
      </c>
      <c r="AC4" t="inlineStr">
        <is>
          <t>msplash</t>
        </is>
      </c>
      <c r="AD4" t="n">
        <v>56</v>
      </c>
      <c r="AE4" t="n">
        <v>1</v>
      </c>
      <c r="AF4" t="n">
        <v>1</v>
      </c>
      <c r="AG4" t="inlineStr">
        <is>
          <t>chaos</t>
        </is>
      </c>
      <c r="AH4" t="inlineStr">
        <is>
          <t>hhou</t>
        </is>
      </c>
      <c r="AI4" t="inlineStr">
        <is>
          <t>A03U,A006,A028,A021,Afra</t>
        </is>
      </c>
      <c r="AJ4" t="inlineStr">
        <is>
          <t>Build Frigid Dryad ( W )</t>
        </is>
      </c>
      <c r="AK4" t="n">
        <v>57</v>
      </c>
      <c r="AL4" t="n">
        <v>2.5</v>
      </c>
      <c r="AM4">
        <f>AK4*AL4</f>
        <v/>
      </c>
      <c r="AN4">
        <f>IF(D4=0,"",AS4/D4)</f>
        <v/>
      </c>
      <c r="AO4">
        <f>(N4/725)^2</f>
        <v/>
      </c>
      <c r="AP4">
        <f>IF(D4=0,"",AN4*AO4)</f>
        <v/>
      </c>
      <c r="AS4">
        <f>AM4+N(AQ4)+N(AR4)</f>
        <v/>
      </c>
      <c r="AT4">
        <f>IF(D4=0,"",AN4*(N4/725))</f>
        <v/>
      </c>
      <c r="AU4" t="inlineStr">
        <is>
          <t>basic attack</t>
        </is>
      </c>
    </row>
    <row r="5">
      <c r="A5" t="inlineStr">
        <is>
          <t>The Pride of Moon Star</t>
        </is>
      </c>
      <c r="B5" t="inlineStr">
        <is>
          <t>h00O</t>
        </is>
      </c>
      <c r="C5" t="n">
        <v>2</v>
      </c>
      <c r="D5" t="n">
        <v>200</v>
      </c>
      <c r="E5" t="n">
        <v>0</v>
      </c>
      <c r="F5" t="inlineStr">
        <is>
          <t>Frigid Dryad</t>
        </is>
      </c>
      <c r="H5" t="inlineStr">
        <is>
          <t>Cure I (A03U); Air Critical Strike I (A005); Slow Poison I (Aspo)</t>
        </is>
      </c>
      <c r="I5" t="inlineStr">
        <is>
          <t>air,enemies,ground,nonancient</t>
        </is>
      </c>
      <c r="J5" t="n">
        <v>998</v>
      </c>
      <c r="K5" t="n">
        <v>999</v>
      </c>
      <c r="L5" t="n">
        <v>998.5</v>
      </c>
      <c r="M5" t="n">
        <v>1</v>
      </c>
      <c r="N5" t="n">
        <v>700</v>
      </c>
      <c r="O5" t="inlineStr">
        <is>
          <t>chaos</t>
        </is>
      </c>
      <c r="P5" t="n">
        <v>998.5</v>
      </c>
      <c r="Z5" t="n">
        <v>0</v>
      </c>
      <c r="AA5" t="n">
        <v>2000</v>
      </c>
      <c r="AB5" t="n">
        <v>0</v>
      </c>
      <c r="AC5" t="inlineStr">
        <is>
          <t>missile</t>
        </is>
      </c>
      <c r="AD5" t="n">
        <v>997</v>
      </c>
      <c r="AE5" t="n">
        <v>1</v>
      </c>
      <c r="AF5" t="n">
        <v>2</v>
      </c>
      <c r="AG5" t="inlineStr">
        <is>
          <t>chaos</t>
        </is>
      </c>
      <c r="AH5" t="inlineStr">
        <is>
          <t>hhou</t>
        </is>
      </c>
      <c r="AI5" t="inlineStr">
        <is>
          <t>A03U,A005,A028,Aspo</t>
        </is>
      </c>
      <c r="AJ5" t="inlineStr">
        <is>
          <t>U pgrade to The Pride of Moon Star</t>
        </is>
      </c>
      <c r="AK5" t="n">
        <v>998.5</v>
      </c>
      <c r="AL5" t="n">
        <v>1.25</v>
      </c>
      <c r="AM5">
        <f>AK5*AL5</f>
        <v/>
      </c>
      <c r="AN5">
        <f>IF(D5=0,"",AS5/D5)</f>
        <v/>
      </c>
      <c r="AO5">
        <f>(N5/725)^2</f>
        <v/>
      </c>
      <c r="AP5">
        <f>IF(D5=0,"",AN5*AO5)</f>
        <v/>
      </c>
      <c r="AR5" t="n">
        <v>4</v>
      </c>
      <c r="AS5">
        <f>AM5+N(AQ5)+N(AR5)</f>
        <v/>
      </c>
      <c r="AT5">
        <f>IF(D5=0,"",AN5*(N5/725))</f>
        <v/>
      </c>
      <c r="AU5" t="inlineStr">
        <is>
          <t>basic attack</t>
        </is>
      </c>
    </row>
    <row r="6">
      <c r="A6" t="inlineStr">
        <is>
          <t>Hunter</t>
        </is>
      </c>
      <c r="B6" t="inlineStr">
        <is>
          <t>h00B</t>
        </is>
      </c>
      <c r="C6" t="n">
        <v>1</v>
      </c>
      <c r="D6" t="n">
        <v>65</v>
      </c>
      <c r="E6" t="n">
        <v>0</v>
      </c>
      <c r="G6" t="inlineStr">
        <is>
          <t>Jailing Officer</t>
        </is>
      </c>
      <c r="H6" t="inlineStr">
        <is>
          <t>Boss Assassin I (A03D); Slow Poison I (Aspo)</t>
        </is>
      </c>
      <c r="I6" t="inlineStr">
        <is>
          <t>air,enemies,ground,nonancient</t>
        </is>
      </c>
      <c r="J6" t="n">
        <v>161</v>
      </c>
      <c r="K6" t="n">
        <v>163</v>
      </c>
      <c r="L6" t="n">
        <v>162</v>
      </c>
      <c r="M6" t="n">
        <v>0.6</v>
      </c>
      <c r="N6" t="n">
        <v>500</v>
      </c>
      <c r="O6" t="inlineStr">
        <is>
          <t>chaos</t>
        </is>
      </c>
      <c r="P6" t="n">
        <v>270</v>
      </c>
      <c r="Z6" t="n">
        <v>0</v>
      </c>
      <c r="AA6" t="n">
        <v>1750</v>
      </c>
      <c r="AB6" t="n">
        <v>0</v>
      </c>
      <c r="AC6" t="inlineStr">
        <is>
          <t>missile</t>
        </is>
      </c>
      <c r="AD6" t="n">
        <v>160</v>
      </c>
      <c r="AE6" t="n">
        <v>1</v>
      </c>
      <c r="AF6" t="n">
        <v>3</v>
      </c>
      <c r="AG6" t="inlineStr">
        <is>
          <t>chaos</t>
        </is>
      </c>
      <c r="AH6" t="inlineStr">
        <is>
          <t>hhou</t>
        </is>
      </c>
      <c r="AI6" t="inlineStr">
        <is>
          <t>A03D,A028,Aspo</t>
        </is>
      </c>
      <c r="AJ6" t="inlineStr">
        <is>
          <t>Build Hunter ( E )</t>
        </is>
      </c>
      <c r="AK6" t="n">
        <v>270</v>
      </c>
      <c r="AL6" t="n">
        <v>1</v>
      </c>
      <c r="AM6">
        <f>AK6*AL6</f>
        <v/>
      </c>
      <c r="AN6">
        <f>IF(D6=0,"",AS6/D6)</f>
        <v/>
      </c>
      <c r="AO6">
        <f>(N6/725)^2</f>
        <v/>
      </c>
      <c r="AP6">
        <f>IF(D6=0,"",AN6*AO6)</f>
        <v/>
      </c>
      <c r="AR6" t="n">
        <v>4</v>
      </c>
      <c r="AS6">
        <f>AM6+N(AQ6)+N(AR6)</f>
        <v/>
      </c>
      <c r="AT6">
        <f>IF(D6=0,"",AN6*(N6/725))</f>
        <v/>
      </c>
      <c r="AU6" t="inlineStr">
        <is>
          <t>basic attack</t>
        </is>
      </c>
    </row>
    <row r="7">
      <c r="A7" t="inlineStr">
        <is>
          <t>Jailing Officer</t>
        </is>
      </c>
      <c r="B7" t="inlineStr">
        <is>
          <t>h00P</t>
        </is>
      </c>
      <c r="C7" t="n">
        <v>2</v>
      </c>
      <c r="D7" t="n">
        <v>190</v>
      </c>
      <c r="E7" t="n">
        <v>0</v>
      </c>
      <c r="F7" t="inlineStr">
        <is>
          <t>Hunter</t>
        </is>
      </c>
      <c r="H7" t="inlineStr">
        <is>
          <t>Slow Poison II (A008); Boss Assassin I (A03D)</t>
        </is>
      </c>
      <c r="I7" t="inlineStr">
        <is>
          <t>air,enemies,ground,nonancient</t>
        </is>
      </c>
      <c r="J7" t="n">
        <v>481</v>
      </c>
      <c r="K7" t="n">
        <v>490</v>
      </c>
      <c r="L7" t="n">
        <v>485.5</v>
      </c>
      <c r="M7" t="n">
        <v>0.5</v>
      </c>
      <c r="N7" t="n">
        <v>500</v>
      </c>
      <c r="O7" t="inlineStr">
        <is>
          <t>chaos</t>
        </is>
      </c>
      <c r="P7" t="n">
        <v>971</v>
      </c>
      <c r="Z7" t="n">
        <v>0</v>
      </c>
      <c r="AA7" t="n">
        <v>2000</v>
      </c>
      <c r="AB7" t="n">
        <v>0</v>
      </c>
      <c r="AC7" t="inlineStr">
        <is>
          <t>missile</t>
        </is>
      </c>
      <c r="AD7" t="n">
        <v>480</v>
      </c>
      <c r="AE7" t="n">
        <v>1</v>
      </c>
      <c r="AF7" t="n">
        <v>10</v>
      </c>
      <c r="AG7" t="inlineStr">
        <is>
          <t>chaos</t>
        </is>
      </c>
      <c r="AH7" t="inlineStr">
        <is>
          <t>hhou</t>
        </is>
      </c>
      <c r="AI7" t="inlineStr">
        <is>
          <t>A008,A03D,A028</t>
        </is>
      </c>
      <c r="AJ7" t="inlineStr">
        <is>
          <t>U pgrade to Jailing Officer</t>
        </is>
      </c>
      <c r="AK7" t="n">
        <v>971</v>
      </c>
      <c r="AL7" t="n">
        <v>1</v>
      </c>
      <c r="AM7">
        <f>AK7*AL7</f>
        <v/>
      </c>
      <c r="AN7">
        <f>IF(D7=0,"",AS7/D7)</f>
        <v/>
      </c>
      <c r="AO7">
        <f>(N7/725)^2</f>
        <v/>
      </c>
      <c r="AP7">
        <f>IF(D7=0,"",AN7*AO7)</f>
        <v/>
      </c>
      <c r="AR7" t="n">
        <v>36</v>
      </c>
      <c r="AS7">
        <f>AM7+N(AQ7)+N(AR7)</f>
        <v/>
      </c>
      <c r="AT7">
        <f>IF(D7=0,"",AN7*(N7/725))</f>
        <v/>
      </c>
      <c r="AU7" t="inlineStr">
        <is>
          <t>basic attack</t>
        </is>
      </c>
    </row>
    <row r="8">
      <c r="A8" t="inlineStr">
        <is>
          <t>Iron Mistress</t>
        </is>
      </c>
      <c r="B8" t="inlineStr">
        <is>
          <t>h00F</t>
        </is>
      </c>
      <c r="C8" t="n">
        <v>1</v>
      </c>
      <c r="D8" t="n">
        <v>375</v>
      </c>
      <c r="E8" t="n">
        <v>0</v>
      </c>
      <c r="H8" t="inlineStr">
        <is>
          <t>Vindicator I (A02Y); Boss Assassin I (A03D); Splash (A021)</t>
        </is>
      </c>
      <c r="I8" t="inlineStr">
        <is>
          <t>air,enemies,ground,nonancient</t>
        </is>
      </c>
      <c r="J8" t="n">
        <v>451</v>
      </c>
      <c r="K8" t="n">
        <v>451</v>
      </c>
      <c r="L8" t="n">
        <v>451</v>
      </c>
      <c r="M8" t="n">
        <v>0.4</v>
      </c>
      <c r="N8" t="n">
        <v>800</v>
      </c>
      <c r="O8" t="inlineStr">
        <is>
          <t>chaos</t>
        </is>
      </c>
      <c r="P8" t="n">
        <v>1127.5</v>
      </c>
      <c r="X8" t="inlineStr">
        <is>
          <t>air,enemies,ground,nonancient</t>
        </is>
      </c>
      <c r="Z8" t="n">
        <v>0</v>
      </c>
      <c r="AA8" t="n">
        <v>2250</v>
      </c>
      <c r="AB8" t="n">
        <v>0</v>
      </c>
      <c r="AC8" t="inlineStr">
        <is>
          <t>msplash</t>
        </is>
      </c>
      <c r="AD8" t="n">
        <v>450</v>
      </c>
      <c r="AE8" t="n">
        <v>1</v>
      </c>
      <c r="AF8" t="n">
        <v>1</v>
      </c>
      <c r="AG8" t="inlineStr">
        <is>
          <t>chaos</t>
        </is>
      </c>
      <c r="AH8" t="inlineStr">
        <is>
          <t>hhou</t>
        </is>
      </c>
      <c r="AI8" t="inlineStr">
        <is>
          <t>A02Y,A03D,A028,A021</t>
        </is>
      </c>
      <c r="AJ8" t="inlineStr">
        <is>
          <t>Build Iron Mistress ( R )</t>
        </is>
      </c>
      <c r="AK8" t="n">
        <v>1127.5</v>
      </c>
      <c r="AL8" t="n">
        <v>2.25</v>
      </c>
      <c r="AM8">
        <f>AK8*AL8</f>
        <v/>
      </c>
      <c r="AN8">
        <f>IF(D8=0,"",AS8/D8)</f>
        <v/>
      </c>
      <c r="AO8">
        <f>(N8/725)^2</f>
        <v/>
      </c>
      <c r="AP8">
        <f>IF(D8=0,"",AN8*AO8)</f>
        <v/>
      </c>
      <c r="AS8">
        <f>AM8+N(AQ8)+N(AR8)</f>
        <v/>
      </c>
      <c r="AT8">
        <f>IF(D8=0,"",AN8*(N8/725))</f>
        <v/>
      </c>
      <c r="AU8" t="inlineStr">
        <is>
          <t>basic attack</t>
        </is>
      </c>
    </row>
    <row r="9">
      <c r="A9" t="inlineStr">
        <is>
          <t>Chibidevil</t>
        </is>
      </c>
      <c r="B9" t="inlineStr">
        <is>
          <t>h00Q</t>
        </is>
      </c>
      <c r="C9" t="n">
        <v>1</v>
      </c>
      <c r="D9" t="n">
        <v>45</v>
      </c>
      <c r="E9" t="n">
        <v>0</v>
      </c>
      <c r="H9" t="inlineStr">
        <is>
          <t>(Dummy Ability - Life Steal) (Aabr); AIva (AIva); Ground Critical Strike I (A003)</t>
        </is>
      </c>
      <c r="I9" t="inlineStr">
        <is>
          <t>air,enemies,ground,nonancient</t>
        </is>
      </c>
      <c r="J9" t="n">
        <v>66</v>
      </c>
      <c r="K9" t="n">
        <v>68</v>
      </c>
      <c r="L9" t="n">
        <v>67</v>
      </c>
      <c r="M9" t="n">
        <v>0.8</v>
      </c>
      <c r="N9" t="n">
        <v>800</v>
      </c>
      <c r="O9" t="inlineStr">
        <is>
          <t>chaos</t>
        </is>
      </c>
      <c r="P9" t="n">
        <v>83.7</v>
      </c>
      <c r="Z9" t="n">
        <v>1</v>
      </c>
      <c r="AA9" t="n">
        <v>1250</v>
      </c>
      <c r="AB9" t="n">
        <v>0</v>
      </c>
      <c r="AC9" t="inlineStr">
        <is>
          <t>missile</t>
        </is>
      </c>
      <c r="AD9" t="n">
        <v>65</v>
      </c>
      <c r="AE9" t="n">
        <v>1</v>
      </c>
      <c r="AF9" t="n">
        <v>3</v>
      </c>
      <c r="AG9" t="inlineStr">
        <is>
          <t>chaos</t>
        </is>
      </c>
      <c r="AH9" t="inlineStr">
        <is>
          <t>hhou</t>
        </is>
      </c>
      <c r="AI9" t="inlineStr">
        <is>
          <t>Aabr,AIva,A028,A003</t>
        </is>
      </c>
      <c r="AJ9" t="inlineStr">
        <is>
          <t>Build Chibidevil ( A )</t>
        </is>
      </c>
      <c r="AK9" t="n">
        <v>83.7</v>
      </c>
      <c r="AL9" t="n">
        <v>1.35</v>
      </c>
      <c r="AM9">
        <f>AK9*AL9</f>
        <v/>
      </c>
      <c r="AN9">
        <f>IF(D9=0,"",AS9/D9)</f>
        <v/>
      </c>
      <c r="AO9">
        <f>(N9/725)^2</f>
        <v/>
      </c>
      <c r="AP9">
        <f>IF(D9=0,"",AN9*AO9)</f>
        <v/>
      </c>
      <c r="AS9">
        <f>AM9+N(AQ9)+N(AR9)</f>
        <v/>
      </c>
      <c r="AT9">
        <f>IF(D9=0,"",AN9*(N9/725))</f>
        <v/>
      </c>
      <c r="AU9" t="inlineStr">
        <is>
          <t>basic attack</t>
        </is>
      </c>
    </row>
    <row r="10">
      <c r="A10" t="inlineStr">
        <is>
          <t>The Unborn</t>
        </is>
      </c>
      <c r="B10" t="inlineStr">
        <is>
          <t>h01R</t>
        </is>
      </c>
      <c r="C10" t="n">
        <v>1</v>
      </c>
      <c r="D10" t="n">
        <v>155</v>
      </c>
      <c r="E10" t="n">
        <v>0</v>
      </c>
      <c r="G10" t="inlineStr">
        <is>
          <t>Severe Trauma</t>
        </is>
      </c>
      <c r="H10" t="inlineStr">
        <is>
          <t>Vindicator II (A03C); Uber Splash (A022)</t>
        </is>
      </c>
      <c r="I10" t="inlineStr">
        <is>
          <t>air,enemies,ground,nonancient</t>
        </is>
      </c>
      <c r="J10" t="n">
        <v>155</v>
      </c>
      <c r="K10" t="n">
        <v>155</v>
      </c>
      <c r="L10" t="n">
        <v>155</v>
      </c>
      <c r="M10" t="n">
        <v>1</v>
      </c>
      <c r="N10" t="n">
        <v>1000</v>
      </c>
      <c r="O10" t="inlineStr">
        <is>
          <t>chaos</t>
        </is>
      </c>
      <c r="P10" t="n">
        <v>155</v>
      </c>
      <c r="X10" t="inlineStr">
        <is>
          <t>air,enemies,ground,nonancient</t>
        </is>
      </c>
      <c r="Z10" t="n">
        <v>1</v>
      </c>
      <c r="AA10" t="n">
        <v>1500</v>
      </c>
      <c r="AB10" t="n">
        <v>0</v>
      </c>
      <c r="AC10" t="inlineStr">
        <is>
          <t>msplash</t>
        </is>
      </c>
      <c r="AD10" t="n">
        <v>154</v>
      </c>
      <c r="AE10" t="n">
        <v>1</v>
      </c>
      <c r="AF10" t="n">
        <v>1</v>
      </c>
      <c r="AG10" t="inlineStr">
        <is>
          <t>chaos</t>
        </is>
      </c>
      <c r="AH10" t="inlineStr">
        <is>
          <t>hhou</t>
        </is>
      </c>
      <c r="AI10" t="inlineStr">
        <is>
          <t>A03C,A028,A022</t>
        </is>
      </c>
      <c r="AJ10" t="inlineStr">
        <is>
          <t>Build The Unborn ( S )</t>
        </is>
      </c>
      <c r="AK10" t="n">
        <v>155</v>
      </c>
      <c r="AL10" t="n">
        <v>3.5</v>
      </c>
      <c r="AM10">
        <f>AK10*AL10</f>
        <v/>
      </c>
      <c r="AN10">
        <f>IF(D10=0,"",AS10/D10)</f>
        <v/>
      </c>
      <c r="AO10">
        <f>(N10/725)^2</f>
        <v/>
      </c>
      <c r="AP10">
        <f>IF(D10=0,"",AN10*AO10)</f>
        <v/>
      </c>
      <c r="AS10">
        <f>AM10+N(AQ10)+N(AR10)</f>
        <v/>
      </c>
      <c r="AT10">
        <f>IF(D10=0,"",AN10*(N10/725))</f>
        <v/>
      </c>
      <c r="AU10" t="inlineStr">
        <is>
          <t>basic attack</t>
        </is>
      </c>
    </row>
    <row r="11">
      <c r="A11" t="inlineStr">
        <is>
          <t>Severe Trauma</t>
        </is>
      </c>
      <c r="B11" t="inlineStr">
        <is>
          <t>h00V</t>
        </is>
      </c>
      <c r="C11" t="n">
        <v>2</v>
      </c>
      <c r="D11" t="n">
        <v>250</v>
      </c>
      <c r="E11" t="n">
        <v>0</v>
      </c>
      <c r="F11" t="inlineStr">
        <is>
          <t>The Unborn</t>
        </is>
      </c>
      <c r="H11" t="inlineStr">
        <is>
          <t>Vindicator III (A02Z); Uber Ground Splash (A01X); Air Deficiency (A009)</t>
        </is>
      </c>
      <c r="I11" t="inlineStr">
        <is>
          <t>air,enemies,ground,nonancient</t>
        </is>
      </c>
      <c r="J11" t="n">
        <v>913</v>
      </c>
      <c r="K11" t="n">
        <v>921</v>
      </c>
      <c r="L11" t="n">
        <v>917</v>
      </c>
      <c r="M11" t="n">
        <v>1.5</v>
      </c>
      <c r="N11" t="n">
        <v>1000</v>
      </c>
      <c r="O11" t="inlineStr">
        <is>
          <t>siege</t>
        </is>
      </c>
      <c r="P11" t="n">
        <v>611.3</v>
      </c>
      <c r="X11" t="inlineStr">
        <is>
          <t>enemies,ground,nonancient</t>
        </is>
      </c>
      <c r="Z11" t="n">
        <v>2</v>
      </c>
      <c r="AA11" t="n">
        <v>1750</v>
      </c>
      <c r="AB11" t="n">
        <v>0</v>
      </c>
      <c r="AC11" t="inlineStr">
        <is>
          <t>msplash</t>
        </is>
      </c>
      <c r="AD11" t="n">
        <v>912</v>
      </c>
      <c r="AE11" t="n">
        <v>1</v>
      </c>
      <c r="AF11" t="n">
        <v>9</v>
      </c>
      <c r="AG11" t="inlineStr">
        <is>
          <t>siege</t>
        </is>
      </c>
      <c r="AH11" t="inlineStr">
        <is>
          <t>hhou</t>
        </is>
      </c>
      <c r="AI11" t="inlineStr">
        <is>
          <t>A02Z,A028,A01X,A009</t>
        </is>
      </c>
      <c r="AJ11" t="inlineStr">
        <is>
          <t>U pgrade to Severe Trauma</t>
        </is>
      </c>
      <c r="AK11" t="n">
        <v>611.3</v>
      </c>
      <c r="AL11" t="n">
        <v>5.5</v>
      </c>
      <c r="AM11">
        <f>AK11*AL11</f>
        <v/>
      </c>
      <c r="AN11">
        <f>IF(D11=0,"",AS11/D11)</f>
        <v/>
      </c>
      <c r="AO11">
        <f>(N11/725)^2</f>
        <v/>
      </c>
      <c r="AP11">
        <f>IF(D11=0,"",AN11*AO11)</f>
        <v/>
      </c>
      <c r="AS11">
        <f>AM11+N(AQ11)+N(AR11)</f>
        <v/>
      </c>
      <c r="AT11">
        <f>IF(D11=0,"",AN11*(N11/725))</f>
        <v/>
      </c>
      <c r="AU11" t="inlineStr">
        <is>
          <t>basic attack</t>
        </is>
      </c>
    </row>
    <row r="12">
      <c r="A12" t="inlineStr">
        <is>
          <t>Lich Baron</t>
        </is>
      </c>
      <c r="B12" t="inlineStr">
        <is>
          <t>h00T</t>
        </is>
      </c>
      <c r="C12" t="n">
        <v>1</v>
      </c>
      <c r="D12" t="n">
        <v>125</v>
      </c>
      <c r="E12" t="n">
        <v>0</v>
      </c>
      <c r="G12" t="inlineStr">
        <is>
          <t>Demon Warlord</t>
        </is>
      </c>
      <c r="H12" t="inlineStr">
        <is>
          <t>Slow Poison II (A008)</t>
        </is>
      </c>
      <c r="I12" t="inlineStr">
        <is>
          <t>air,enemies,ground,nonancient</t>
        </is>
      </c>
      <c r="J12" t="n">
        <v>229</v>
      </c>
      <c r="K12" t="n">
        <v>229</v>
      </c>
      <c r="L12" t="n">
        <v>229</v>
      </c>
      <c r="M12" t="n">
        <v>0.8</v>
      </c>
      <c r="N12" t="n">
        <v>1000</v>
      </c>
      <c r="O12" t="inlineStr">
        <is>
          <t>chaos</t>
        </is>
      </c>
      <c r="P12" t="n">
        <v>286.2</v>
      </c>
      <c r="Z12" t="n">
        <v>1</v>
      </c>
      <c r="AA12" t="n">
        <v>1500</v>
      </c>
      <c r="AB12" t="n">
        <v>0</v>
      </c>
      <c r="AC12" t="inlineStr">
        <is>
          <t>missile</t>
        </is>
      </c>
      <c r="AD12" t="n">
        <v>228</v>
      </c>
      <c r="AE12" t="n">
        <v>1</v>
      </c>
      <c r="AF12" t="n">
        <v>1</v>
      </c>
      <c r="AG12" t="inlineStr">
        <is>
          <t>chaos</t>
        </is>
      </c>
      <c r="AH12" t="inlineStr">
        <is>
          <t>hhou</t>
        </is>
      </c>
      <c r="AI12" t="inlineStr">
        <is>
          <t>A028,A008</t>
        </is>
      </c>
      <c r="AJ12" t="inlineStr">
        <is>
          <t>Build Lich Baron ( D )</t>
        </is>
      </c>
      <c r="AK12" t="n">
        <v>286.2</v>
      </c>
      <c r="AL12" t="n">
        <v>1</v>
      </c>
      <c r="AM12">
        <f>AK12*AL12</f>
        <v/>
      </c>
      <c r="AN12">
        <f>IF(D12=0,"",AS12/D12)</f>
        <v/>
      </c>
      <c r="AO12">
        <f>(N12/725)^2</f>
        <v/>
      </c>
      <c r="AP12">
        <f>IF(D12=0,"",AN12*AO12)</f>
        <v/>
      </c>
      <c r="AR12" t="n">
        <v>36</v>
      </c>
      <c r="AS12">
        <f>AM12+N(AQ12)+N(AR12)</f>
        <v/>
      </c>
      <c r="AT12">
        <f>IF(D12=0,"",AN12*(N12/725))</f>
        <v/>
      </c>
      <c r="AU12" t="inlineStr">
        <is>
          <t>basic attack</t>
        </is>
      </c>
    </row>
    <row r="13">
      <c r="A13" t="inlineStr">
        <is>
          <t>Demon Warlord</t>
        </is>
      </c>
      <c r="B13" t="inlineStr">
        <is>
          <t>h00U</t>
        </is>
      </c>
      <c r="C13" t="n">
        <v>2</v>
      </c>
      <c r="D13" t="n">
        <v>285</v>
      </c>
      <c r="E13" t="n">
        <v>0</v>
      </c>
      <c r="F13" t="inlineStr">
        <is>
          <t>Lich Baron</t>
        </is>
      </c>
      <c r="H13" t="inlineStr">
        <is>
          <t>Air Critical Strike I (A005); Splash (A021)</t>
        </is>
      </c>
      <c r="I13" t="inlineStr">
        <is>
          <t>air,enemies,ground,nonancient</t>
        </is>
      </c>
      <c r="J13" t="n">
        <v>851</v>
      </c>
      <c r="K13" t="n">
        <v>852</v>
      </c>
      <c r="L13" t="n">
        <v>851.5</v>
      </c>
      <c r="M13" t="n">
        <v>1</v>
      </c>
      <c r="N13" t="n">
        <v>900</v>
      </c>
      <c r="O13" t="inlineStr">
        <is>
          <t>chaos</t>
        </is>
      </c>
      <c r="P13" t="n">
        <v>851.5</v>
      </c>
      <c r="X13" t="inlineStr">
        <is>
          <t>air,enemies,ground,nonancient</t>
        </is>
      </c>
      <c r="Z13" t="n">
        <v>2</v>
      </c>
      <c r="AA13" t="n">
        <v>2250</v>
      </c>
      <c r="AB13" t="n">
        <v>0</v>
      </c>
      <c r="AC13" t="inlineStr">
        <is>
          <t>msplash</t>
        </is>
      </c>
      <c r="AD13" t="n">
        <v>850</v>
      </c>
      <c r="AE13" t="n">
        <v>1</v>
      </c>
      <c r="AF13" t="n">
        <v>2</v>
      </c>
      <c r="AG13" t="inlineStr">
        <is>
          <t>chaos</t>
        </is>
      </c>
      <c r="AH13" t="inlineStr">
        <is>
          <t>hhou</t>
        </is>
      </c>
      <c r="AI13" t="inlineStr">
        <is>
          <t>A005,A028,A021</t>
        </is>
      </c>
      <c r="AJ13" t="inlineStr">
        <is>
          <t>U pgrade to Demon Warlord</t>
        </is>
      </c>
      <c r="AK13" t="n">
        <v>851.5</v>
      </c>
      <c r="AL13" t="n">
        <v>1.25</v>
      </c>
      <c r="AM13">
        <f>AK13*AL13</f>
        <v/>
      </c>
      <c r="AN13">
        <f>IF(D13=0,"",AS13/D13)</f>
        <v/>
      </c>
      <c r="AO13">
        <f>(N13/725)^2</f>
        <v/>
      </c>
      <c r="AP13">
        <f>IF(D13=0,"",AN13*AO13)</f>
        <v/>
      </c>
      <c r="AS13">
        <f>AM13+N(AQ13)+N(AR13)</f>
        <v/>
      </c>
      <c r="AT13">
        <f>IF(D13=0,"",AN13*(N13/725))</f>
        <v/>
      </c>
      <c r="AU13" t="inlineStr">
        <is>
          <t>basic attack</t>
        </is>
      </c>
    </row>
    <row r="14">
      <c r="A14" t="inlineStr">
        <is>
          <t>Promontory Disruptor</t>
        </is>
      </c>
      <c r="B14" t="inlineStr">
        <is>
          <t>h00W</t>
        </is>
      </c>
      <c r="C14" t="n">
        <v>1</v>
      </c>
      <c r="D14" t="n">
        <v>420</v>
      </c>
      <c r="E14" t="n">
        <v>0</v>
      </c>
      <c r="H14" t="inlineStr">
        <is>
          <t>Supreme Ground Splash (A01Y); Air Deficiency (A009)</t>
        </is>
      </c>
      <c r="I14" t="inlineStr">
        <is>
          <t>air,enemies,ground,nonancient</t>
        </is>
      </c>
      <c r="J14" t="n">
        <v>779</v>
      </c>
      <c r="K14" t="n">
        <v>781</v>
      </c>
      <c r="L14" t="n">
        <v>780</v>
      </c>
      <c r="M14" t="n">
        <v>0.8</v>
      </c>
      <c r="N14" t="n">
        <v>1000</v>
      </c>
      <c r="O14" t="inlineStr">
        <is>
          <t>chaos</t>
        </is>
      </c>
      <c r="P14" t="n">
        <v>975</v>
      </c>
      <c r="X14" t="inlineStr">
        <is>
          <t>enemies,ground,nonancient</t>
        </is>
      </c>
      <c r="Z14" t="n">
        <v>3</v>
      </c>
      <c r="AA14" t="n">
        <v>2500</v>
      </c>
      <c r="AB14" t="n">
        <v>0</v>
      </c>
      <c r="AC14" t="inlineStr">
        <is>
          <t>msplash</t>
        </is>
      </c>
      <c r="AD14" t="n">
        <v>778</v>
      </c>
      <c r="AE14" t="n">
        <v>1</v>
      </c>
      <c r="AF14" t="n">
        <v>3</v>
      </c>
      <c r="AG14" t="inlineStr">
        <is>
          <t>chaos</t>
        </is>
      </c>
      <c r="AH14" t="inlineStr">
        <is>
          <t>hhou</t>
        </is>
      </c>
      <c r="AI14" t="inlineStr">
        <is>
          <t>A028,A01Y,A009</t>
        </is>
      </c>
      <c r="AJ14" t="inlineStr">
        <is>
          <t>Build Promontory Disruptor ( F )</t>
        </is>
      </c>
      <c r="AK14" t="n">
        <v>975</v>
      </c>
      <c r="AL14" t="n">
        <v>1</v>
      </c>
      <c r="AM14">
        <f>AK14*AL14</f>
        <v/>
      </c>
      <c r="AN14">
        <f>IF(D14=0,"",AS14/D14)</f>
        <v/>
      </c>
      <c r="AO14">
        <f>(N14/725)^2</f>
        <v/>
      </c>
      <c r="AP14">
        <f>IF(D14=0,"",AN14*AO14)</f>
        <v/>
      </c>
      <c r="AS14">
        <f>AM14+N(AQ14)+N(AR14)</f>
        <v/>
      </c>
      <c r="AT14">
        <f>IF(D14=0,"",AN14*(N14/725))</f>
        <v/>
      </c>
      <c r="AU14" t="inlineStr">
        <is>
          <t>basic attack</t>
        </is>
      </c>
    </row>
    <row r="15">
      <c r="A15" t="inlineStr">
        <is>
          <t>Delfino</t>
        </is>
      </c>
      <c r="B15" t="inlineStr">
        <is>
          <t>h01Q</t>
        </is>
      </c>
      <c r="C15" t="n">
        <v>1</v>
      </c>
      <c r="D15" t="n">
        <v>185</v>
      </c>
      <c r="E15" t="n">
        <v>0</v>
      </c>
      <c r="G15" t="inlineStr">
        <is>
          <t>Evolved Dweller</t>
        </is>
      </c>
      <c r="H15" t="inlineStr">
        <is>
          <t>Cure II (A03V); Versatile Critical Strike I (A004)</t>
        </is>
      </c>
      <c r="I15" t="inlineStr">
        <is>
          <t>air,enemies,ground,nonancient</t>
        </is>
      </c>
      <c r="J15" t="n">
        <v>451</v>
      </c>
      <c r="K15" t="n">
        <v>453</v>
      </c>
      <c r="L15" t="n">
        <v>452</v>
      </c>
      <c r="M15" t="n">
        <v>1</v>
      </c>
      <c r="N15" t="n">
        <v>800</v>
      </c>
      <c r="O15" t="inlineStr">
        <is>
          <t>magic</t>
        </is>
      </c>
      <c r="P15" t="n">
        <v>452</v>
      </c>
      <c r="Z15" t="n">
        <v>2</v>
      </c>
      <c r="AA15" t="n">
        <v>1500</v>
      </c>
      <c r="AB15" t="n">
        <v>0</v>
      </c>
      <c r="AC15" t="inlineStr">
        <is>
          <t>missile</t>
        </is>
      </c>
      <c r="AD15" t="n">
        <v>450</v>
      </c>
      <c r="AE15" t="n">
        <v>1</v>
      </c>
      <c r="AF15" t="n">
        <v>3</v>
      </c>
      <c r="AG15" t="inlineStr">
        <is>
          <t>magic</t>
        </is>
      </c>
      <c r="AH15" t="inlineStr">
        <is>
          <t>hhou</t>
        </is>
      </c>
      <c r="AI15" t="inlineStr">
        <is>
          <t>A03V,A028,A004</t>
        </is>
      </c>
      <c r="AJ15" t="inlineStr">
        <is>
          <t>Build Delfino ( Z )</t>
        </is>
      </c>
      <c r="AK15" t="n">
        <v>452</v>
      </c>
      <c r="AL15" t="n">
        <v>1.52</v>
      </c>
      <c r="AM15">
        <f>AK15*AL15</f>
        <v/>
      </c>
      <c r="AN15">
        <f>IF(D15=0,"",AS15/D15)</f>
        <v/>
      </c>
      <c r="AO15">
        <f>(N15/725)^2</f>
        <v/>
      </c>
      <c r="AP15">
        <f>IF(D15=0,"",AN15*AO15)</f>
        <v/>
      </c>
      <c r="AS15">
        <f>AM15+N(AQ15)+N(AR15)</f>
        <v/>
      </c>
      <c r="AT15">
        <f>IF(D15=0,"",AN15*(N15/725))</f>
        <v/>
      </c>
      <c r="AU15" t="inlineStr">
        <is>
          <t>basic attack</t>
        </is>
      </c>
    </row>
    <row r="16">
      <c r="A16" t="inlineStr">
        <is>
          <t>Evolved Dweller</t>
        </is>
      </c>
      <c r="B16" t="inlineStr">
        <is>
          <t>h01T</t>
        </is>
      </c>
      <c r="C16" t="n">
        <v>2</v>
      </c>
      <c r="D16" t="n">
        <v>280</v>
      </c>
      <c r="E16" t="n">
        <v>0</v>
      </c>
      <c r="F16" t="inlineStr">
        <is>
          <t>Delfino</t>
        </is>
      </c>
      <c r="H16" t="inlineStr">
        <is>
          <t>Fortitude (A047); Cure II (A03V); Slow Poison I (Aspo)</t>
        </is>
      </c>
      <c r="I16" t="inlineStr">
        <is>
          <t>air,enemies,ground,nonancient</t>
        </is>
      </c>
      <c r="J16" t="n">
        <v>1501</v>
      </c>
      <c r="K16" t="n">
        <v>1506</v>
      </c>
      <c r="L16" t="n">
        <v>1503.5</v>
      </c>
      <c r="M16" t="n">
        <v>0.8</v>
      </c>
      <c r="N16" t="n">
        <v>900</v>
      </c>
      <c r="O16" t="inlineStr">
        <is>
          <t>magic</t>
        </is>
      </c>
      <c r="P16" t="n">
        <v>1879.4</v>
      </c>
      <c r="Z16" t="n">
        <v>6</v>
      </c>
      <c r="AA16" t="n">
        <v>2250</v>
      </c>
      <c r="AB16" t="n">
        <v>0</v>
      </c>
      <c r="AC16" t="inlineStr">
        <is>
          <t>missile</t>
        </is>
      </c>
      <c r="AD16" t="n">
        <v>1500</v>
      </c>
      <c r="AE16" t="n">
        <v>1</v>
      </c>
      <c r="AF16" t="n">
        <v>6</v>
      </c>
      <c r="AG16" t="inlineStr">
        <is>
          <t>magic</t>
        </is>
      </c>
      <c r="AH16" t="inlineStr">
        <is>
          <t>hhou</t>
        </is>
      </c>
      <c r="AI16" t="inlineStr">
        <is>
          <t>A047,A03V,A028,Aspo</t>
        </is>
      </c>
      <c r="AJ16" t="inlineStr">
        <is>
          <t>U pgrade to Evolved Dweller</t>
        </is>
      </c>
      <c r="AK16" t="n">
        <v>1879.4</v>
      </c>
      <c r="AL16" t="n">
        <v>1</v>
      </c>
      <c r="AM16">
        <f>AK16*AL16</f>
        <v/>
      </c>
      <c r="AN16">
        <f>IF(D16=0,"",AS16/D16)</f>
        <v/>
      </c>
      <c r="AO16">
        <f>(N16/725)^2</f>
        <v/>
      </c>
      <c r="AP16">
        <f>IF(D16=0,"",AN16*AO16)</f>
        <v/>
      </c>
      <c r="AR16" t="n">
        <v>4</v>
      </c>
      <c r="AS16">
        <f>AM16+N(AQ16)+N(AR16)</f>
        <v/>
      </c>
      <c r="AT16">
        <f>IF(D16=0,"",AN16*(N16/725))</f>
        <v/>
      </c>
      <c r="AU16" t="inlineStr">
        <is>
          <t>basic attack</t>
        </is>
      </c>
    </row>
    <row r="17">
      <c r="A17" t="inlineStr">
        <is>
          <t>Blackguard</t>
        </is>
      </c>
      <c r="B17" t="inlineStr">
        <is>
          <t>h00S</t>
        </is>
      </c>
      <c r="C17" t="n">
        <v>1</v>
      </c>
      <c r="D17" t="n">
        <v>340</v>
      </c>
      <c r="E17" t="n">
        <v>0</v>
      </c>
      <c r="G17" t="inlineStr">
        <is>
          <t>Noir Heart</t>
        </is>
      </c>
      <c r="H17" t="inlineStr">
        <is>
          <t>Slow Poison I (Aspo); Air Critical Strike II (A006)</t>
        </is>
      </c>
      <c r="I17" t="inlineStr">
        <is>
          <t>air,enemies,ground,nonancient</t>
        </is>
      </c>
      <c r="J17" t="n">
        <v>1751</v>
      </c>
      <c r="K17" t="n">
        <v>1756</v>
      </c>
      <c r="L17" t="n">
        <v>1753.5</v>
      </c>
      <c r="M17" t="n">
        <v>0.9</v>
      </c>
      <c r="N17" t="n">
        <v>800</v>
      </c>
      <c r="O17" t="inlineStr">
        <is>
          <t>chaos</t>
        </is>
      </c>
      <c r="P17" t="n">
        <v>1948.3</v>
      </c>
      <c r="Z17" t="n">
        <v>3</v>
      </c>
      <c r="AA17" t="n">
        <v>2250</v>
      </c>
      <c r="AB17" t="n">
        <v>0</v>
      </c>
      <c r="AC17" t="inlineStr">
        <is>
          <t>missile</t>
        </is>
      </c>
      <c r="AD17" t="n">
        <v>1750</v>
      </c>
      <c r="AE17" t="n">
        <v>1</v>
      </c>
      <c r="AF17" t="n">
        <v>6</v>
      </c>
      <c r="AG17" t="inlineStr">
        <is>
          <t>chaos</t>
        </is>
      </c>
      <c r="AH17" t="inlineStr">
        <is>
          <t>hhou</t>
        </is>
      </c>
      <c r="AI17" t="inlineStr">
        <is>
          <t>A028,Aspo,A006</t>
        </is>
      </c>
      <c r="AJ17" t="inlineStr">
        <is>
          <t>Build Blackguard ( X )</t>
        </is>
      </c>
      <c r="AK17" t="n">
        <v>1948.3</v>
      </c>
      <c r="AL17" t="n">
        <v>2.5</v>
      </c>
      <c r="AM17">
        <f>AK17*AL17</f>
        <v/>
      </c>
      <c r="AN17">
        <f>IF(D17=0,"",AS17/D17)</f>
        <v/>
      </c>
      <c r="AO17">
        <f>(N17/725)^2</f>
        <v/>
      </c>
      <c r="AP17">
        <f>IF(D17=0,"",AN17*AO17)</f>
        <v/>
      </c>
      <c r="AR17" t="n">
        <v>4</v>
      </c>
      <c r="AS17">
        <f>AM17+N(AQ17)+N(AR17)</f>
        <v/>
      </c>
      <c r="AT17">
        <f>IF(D17=0,"",AN17*(N17/725))</f>
        <v/>
      </c>
      <c r="AU17" t="inlineStr">
        <is>
          <t>basic attack</t>
        </is>
      </c>
    </row>
    <row r="18">
      <c r="A18" t="inlineStr">
        <is>
          <t>Noir Heart</t>
        </is>
      </c>
      <c r="B18" t="inlineStr">
        <is>
          <t>h01S</t>
        </is>
      </c>
      <c r="C18" t="n">
        <v>2</v>
      </c>
      <c r="D18" t="n">
        <v>415</v>
      </c>
      <c r="E18" t="n">
        <v>0</v>
      </c>
      <c r="F18" t="inlineStr">
        <is>
          <t>Blackguard</t>
        </is>
      </c>
      <c r="H18" t="inlineStr">
        <is>
          <t>Slow Poison II (A008); Air Critical Strike III (A00U)</t>
        </is>
      </c>
      <c r="I18" t="inlineStr">
        <is>
          <t>air,enemies,ground,nonancient</t>
        </is>
      </c>
      <c r="J18" t="n">
        <v>3351</v>
      </c>
      <c r="K18" t="n">
        <v>3365</v>
      </c>
      <c r="L18" t="n">
        <v>3358</v>
      </c>
      <c r="M18" t="n">
        <v>0.9</v>
      </c>
      <c r="N18" t="n">
        <v>1000</v>
      </c>
      <c r="O18" t="inlineStr">
        <is>
          <t>chaos</t>
        </is>
      </c>
      <c r="P18" t="n">
        <v>3731.1</v>
      </c>
      <c r="Z18" t="n">
        <v>4</v>
      </c>
      <c r="AA18" t="n">
        <v>2750</v>
      </c>
      <c r="AB18" t="n">
        <v>0</v>
      </c>
      <c r="AC18" t="inlineStr">
        <is>
          <t>missile</t>
        </is>
      </c>
      <c r="AD18" t="n">
        <v>3350</v>
      </c>
      <c r="AE18" t="n">
        <v>1</v>
      </c>
      <c r="AF18" t="n">
        <v>15</v>
      </c>
      <c r="AG18" t="inlineStr">
        <is>
          <t>chaos</t>
        </is>
      </c>
      <c r="AH18" t="inlineStr">
        <is>
          <t>hhou</t>
        </is>
      </c>
      <c r="AI18" t="inlineStr">
        <is>
          <t>A028,A008,A00U</t>
        </is>
      </c>
      <c r="AJ18" t="inlineStr">
        <is>
          <t>U pgrade to Noir Heart</t>
        </is>
      </c>
      <c r="AK18" t="n">
        <v>3731.1</v>
      </c>
      <c r="AL18" t="n">
        <v>4</v>
      </c>
      <c r="AM18">
        <f>AK18*AL18</f>
        <v/>
      </c>
      <c r="AN18">
        <f>IF(D18=0,"",AS18/D18)</f>
        <v/>
      </c>
      <c r="AO18">
        <f>(N18/725)^2</f>
        <v/>
      </c>
      <c r="AP18">
        <f>IF(D18=0,"",AN18*AO18)</f>
        <v/>
      </c>
      <c r="AR18" t="n">
        <v>36</v>
      </c>
      <c r="AS18">
        <f>AM18+N(AQ18)+N(AR18)</f>
        <v/>
      </c>
      <c r="AT18">
        <f>IF(D18=0,"",AN18*(N18/725))</f>
        <v/>
      </c>
      <c r="AU18" t="inlineStr">
        <is>
          <t>basic attack</t>
        </is>
      </c>
    </row>
    <row r="19">
      <c r="A19" t="inlineStr">
        <is>
          <t>Terra Warrior</t>
        </is>
      </c>
      <c r="B19" t="inlineStr">
        <is>
          <t>h00X</t>
        </is>
      </c>
      <c r="C19" t="n">
        <v>1</v>
      </c>
      <c r="D19" t="n">
        <v>630</v>
      </c>
      <c r="E19" t="n">
        <v>1</v>
      </c>
      <c r="G19" t="inlineStr">
        <is>
          <t>Gaia's Avatar</t>
        </is>
      </c>
      <c r="H19" t="inlineStr">
        <is>
          <t>Slow Poison I (Aspo)</t>
        </is>
      </c>
      <c r="I19" t="inlineStr">
        <is>
          <t>air,enemies,ground,nonancient</t>
        </is>
      </c>
      <c r="J19" t="n">
        <v>3026</v>
      </c>
      <c r="K19" t="n">
        <v>3030</v>
      </c>
      <c r="L19" t="n">
        <v>3028</v>
      </c>
      <c r="M19" t="n">
        <v>0.75</v>
      </c>
      <c r="N19" t="n">
        <v>1100</v>
      </c>
      <c r="O19" t="inlineStr">
        <is>
          <t>chaos</t>
        </is>
      </c>
      <c r="P19" t="n">
        <v>4037.3</v>
      </c>
      <c r="AA19" t="n">
        <v>3000</v>
      </c>
      <c r="AB19" t="n">
        <v>0</v>
      </c>
      <c r="AC19" t="inlineStr">
        <is>
          <t>missile</t>
        </is>
      </c>
      <c r="AD19" t="n">
        <v>3025</v>
      </c>
      <c r="AE19" t="n">
        <v>1</v>
      </c>
      <c r="AF19" t="n">
        <v>5</v>
      </c>
      <c r="AG19" t="inlineStr">
        <is>
          <t>chaos</t>
        </is>
      </c>
      <c r="AH19" t="inlineStr">
        <is>
          <t>hhou</t>
        </is>
      </c>
      <c r="AI19" t="inlineStr">
        <is>
          <t>Aspo,A028</t>
        </is>
      </c>
      <c r="AJ19" t="inlineStr">
        <is>
          <t>Build Terra Warrior ( C )</t>
        </is>
      </c>
      <c r="AK19" t="n">
        <v>4037.3</v>
      </c>
      <c r="AL19" t="n">
        <v>1</v>
      </c>
      <c r="AM19">
        <f>AK19*AL19</f>
        <v/>
      </c>
      <c r="AN19">
        <f>IF(D19=0,"",AS19/D19)</f>
        <v/>
      </c>
      <c r="AO19">
        <f>(N19/725)^2</f>
        <v/>
      </c>
      <c r="AP19">
        <f>IF(D19=0,"",AN19*AO19)</f>
        <v/>
      </c>
      <c r="AR19" t="n">
        <v>4</v>
      </c>
      <c r="AS19">
        <f>AM19+N(AQ19)+N(AR19)</f>
        <v/>
      </c>
      <c r="AT19">
        <f>IF(D19=0,"",AN19*(N19/725))</f>
        <v/>
      </c>
      <c r="AU19" t="inlineStr">
        <is>
          <t>basic attack</t>
        </is>
      </c>
    </row>
    <row r="20">
      <c r="A20" t="inlineStr">
        <is>
          <t>Gaia's Avatar</t>
        </is>
      </c>
      <c r="B20" t="inlineStr">
        <is>
          <t>h01U</t>
        </is>
      </c>
      <c r="C20" t="n">
        <v>2</v>
      </c>
      <c r="D20" t="n">
        <v>750</v>
      </c>
      <c r="E20" t="n">
        <v>1</v>
      </c>
      <c r="F20" t="inlineStr">
        <is>
          <t>Terra Warrior</t>
        </is>
      </c>
      <c r="H20" t="inlineStr">
        <is>
          <t>Splash (A021)</t>
        </is>
      </c>
      <c r="I20" t="inlineStr">
        <is>
          <t>air,enemies,ground,nonancient</t>
        </is>
      </c>
      <c r="J20" t="n">
        <v>6231</v>
      </c>
      <c r="K20" t="n">
        <v>6236</v>
      </c>
      <c r="L20" t="n">
        <v>6233.5</v>
      </c>
      <c r="M20" t="n">
        <v>0.9</v>
      </c>
      <c r="N20" t="n">
        <v>1200</v>
      </c>
      <c r="O20" t="inlineStr">
        <is>
          <t>chaos</t>
        </is>
      </c>
      <c r="P20" t="n">
        <v>6926.1</v>
      </c>
      <c r="X20" t="inlineStr">
        <is>
          <t>air,enemies,ground,nonancient</t>
        </is>
      </c>
      <c r="Z20" t="n">
        <v>7</v>
      </c>
      <c r="AA20" t="n">
        <v>3500</v>
      </c>
      <c r="AB20" t="n">
        <v>0</v>
      </c>
      <c r="AC20" t="inlineStr">
        <is>
          <t>msplash</t>
        </is>
      </c>
      <c r="AD20" t="n">
        <v>6230</v>
      </c>
      <c r="AE20" t="n">
        <v>1</v>
      </c>
      <c r="AF20" t="n">
        <v>6</v>
      </c>
      <c r="AG20" t="inlineStr">
        <is>
          <t>chaos</t>
        </is>
      </c>
      <c r="AH20" t="inlineStr">
        <is>
          <t>hhou</t>
        </is>
      </c>
      <c r="AI20" t="inlineStr">
        <is>
          <t>A028,A021</t>
        </is>
      </c>
      <c r="AJ20" t="inlineStr">
        <is>
          <t>U pgrade to Gaia's Avatar</t>
        </is>
      </c>
      <c r="AK20" t="n">
        <v>6926.1</v>
      </c>
      <c r="AL20" t="n">
        <v>1</v>
      </c>
      <c r="AM20">
        <f>AK20*AL20</f>
        <v/>
      </c>
      <c r="AN20">
        <f>IF(D20=0,"",AS20/D20)</f>
        <v/>
      </c>
      <c r="AO20">
        <f>(N20/725)^2</f>
        <v/>
      </c>
      <c r="AP20">
        <f>IF(D20=0,"",AN20*AO20)</f>
        <v/>
      </c>
      <c r="AS20">
        <f>AM20+N(AQ20)+N(AR20)</f>
        <v/>
      </c>
      <c r="AT20">
        <f>IF(D20=0,"",AN20*(N20/725))</f>
        <v/>
      </c>
      <c r="AU20" t="inlineStr">
        <is>
          <t>basic attack</t>
        </is>
      </c>
    </row>
  </sheetData>
  <autoFilter ref="A1:AU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A28"/>
  <sheetViews>
    <sheetView workbookViewId="0">
      <pane ySplit="1" topLeftCell="A2" activePane="bottomLeft" state="frozen"/>
      <selection pane="bottomLeft" activeCell="A1" sqref="A1"/>
    </sheetView>
  </sheetViews>
  <sheetFormatPr baseColWidth="8" defaultRowHeight="15"/>
  <cols>
    <col width="23" customWidth="1" min="1" max="1"/>
    <col width="9" customWidth="1" min="2" max="2"/>
    <col width="9" customWidth="1" min="3" max="3"/>
    <col width="11" customWidth="1" min="4" max="4"/>
    <col width="9" customWidth="1" min="5" max="5"/>
    <col width="19" customWidth="1" min="6" max="6"/>
    <col width="17" customWidth="1" min="7" max="7"/>
    <col width="48" customWidth="1" min="8" max="8"/>
    <col width="31" customWidth="1" min="9" max="9"/>
    <col width="10" customWidth="1" min="10" max="10"/>
    <col width="10" customWidth="1" min="11" max="11"/>
    <col width="11" customWidth="1" min="12" max="12"/>
    <col width="15" customWidth="1" min="13" max="13"/>
    <col width="12" customWidth="1" min="14" max="14"/>
    <col width="11" customWidth="1" min="15" max="15"/>
    <col width="10" customWidth="1" min="16" max="16"/>
    <col width="10" customWidth="1" min="17" max="17"/>
    <col width="10" customWidth="1" min="18" max="18"/>
    <col width="11" customWidth="1" min="19" max="19"/>
    <col width="15" customWidth="1" min="20" max="20"/>
    <col width="12" customWidth="1" min="21" max="21"/>
    <col width="11" customWidth="1" min="22" max="22"/>
    <col width="10" customWidth="1" min="23" max="23"/>
    <col width="31" customWidth="1" min="24" max="24"/>
    <col width="13" customWidth="1" min="25" max="25"/>
    <col width="14" customWidth="1" min="26" max="26"/>
    <col width="9" customWidth="1" min="27" max="27"/>
    <col width="13" customWidth="1" min="28" max="28"/>
    <col width="13" customWidth="1" min="29" max="29"/>
    <col width="11" customWidth="1" min="30" max="30"/>
    <col width="11" customWidth="1" min="31" max="31"/>
    <col width="12" customWidth="1" min="32" max="32"/>
    <col width="20" customWidth="1" min="33" max="33"/>
    <col width="11" customWidth="1" min="34" max="34"/>
    <col width="26" customWidth="1" min="35" max="35"/>
    <col width="35" customWidth="1" min="36" max="36"/>
    <col width="11" customWidth="1" min="37" max="37"/>
    <col width="11" customWidth="1" min="38" max="38"/>
    <col width="12" customWidth="1" min="39" max="39"/>
    <col width="46" customWidth="1" min="40" max="40"/>
    <col width="17" customWidth="1" min="41" max="41"/>
    <col width="48" customWidth="1" min="42" max="42"/>
    <col width="9" customWidth="1" min="43" max="43"/>
    <col width="17" customWidth="1" min="44" max="44"/>
    <col width="15" customWidth="1" min="45" max="45"/>
    <col width="14" customWidth="1" min="46" max="46"/>
    <col width="17" customWidth="1" min="47" max="47"/>
    <col width="27" customWidth="1" min="48" max="48"/>
    <col width="12" customWidth="1" min="49" max="49"/>
    <col width="9" customWidth="1" min="50" max="50"/>
    <col width="15" customWidth="1" min="51" max="51"/>
    <col width="22" customWidth="1" min="52" max="52"/>
    <col width="48" customWidth="1" min="53" max="53"/>
  </cols>
  <sheetData>
    <row r="1">
      <c r="A1" s="1" t="inlineStr">
        <is>
          <t>name</t>
        </is>
      </c>
      <c r="B1" s="1" t="inlineStr">
        <is>
          <t>unit_id</t>
        </is>
      </c>
      <c r="C1" s="1" t="inlineStr">
        <is>
          <t>tier</t>
        </is>
      </c>
      <c r="D1" s="1" t="inlineStr">
        <is>
          <t>cost_gold</t>
        </is>
      </c>
      <c r="E1" s="1" t="inlineStr">
        <is>
          <t>food</t>
        </is>
      </c>
      <c r="F1" s="1" t="inlineStr">
        <is>
          <t>upgrades_from</t>
        </is>
      </c>
      <c r="G1" s="1" t="inlineStr">
        <is>
          <t>upgrades_to</t>
        </is>
      </c>
      <c r="H1" s="1" t="inlineStr">
        <is>
          <t>traits</t>
        </is>
      </c>
      <c r="I1" s="1" t="inlineStr">
        <is>
          <t>targets</t>
        </is>
      </c>
      <c r="J1" s="1" t="inlineStr">
        <is>
          <t>atk1_min</t>
        </is>
      </c>
      <c r="K1" s="1" t="inlineStr">
        <is>
          <t>atk1_max</t>
        </is>
      </c>
      <c r="L1" s="1" t="inlineStr">
        <is>
          <t>atk1_mean</t>
        </is>
      </c>
      <c r="M1" s="1" t="inlineStr">
        <is>
          <t>atk1_cooldown</t>
        </is>
      </c>
      <c r="N1" s="1" t="inlineStr">
        <is>
          <t>atk1_range</t>
        </is>
      </c>
      <c r="O1" s="1" t="inlineStr">
        <is>
          <t>atk1_type</t>
        </is>
      </c>
      <c r="P1" s="1" t="inlineStr">
        <is>
          <t>atk1_dps</t>
        </is>
      </c>
      <c r="Q1" s="1" t="inlineStr">
        <is>
          <t>atk2_min</t>
        </is>
      </c>
      <c r="R1" s="1" t="inlineStr">
        <is>
          <t>atk2_max</t>
        </is>
      </c>
      <c r="S1" s="1" t="inlineStr">
        <is>
          <t>atk2_mean</t>
        </is>
      </c>
      <c r="T1" s="1" t="inlineStr">
        <is>
          <t>atk2_cooldown</t>
        </is>
      </c>
      <c r="U1" s="1" t="inlineStr">
        <is>
          <t>atk2_range</t>
        </is>
      </c>
      <c r="V1" s="1" t="inlineStr">
        <is>
          <t>atk2_type</t>
        </is>
      </c>
      <c r="W1" s="1" t="inlineStr">
        <is>
          <t>atk2_dps</t>
        </is>
      </c>
      <c r="X1" s="1" t="inlineStr">
        <is>
          <t>splash_targets</t>
        </is>
      </c>
      <c r="Y1" s="1" t="inlineStr">
        <is>
          <t>armour_type</t>
        </is>
      </c>
      <c r="Z1" s="1" t="inlineStr">
        <is>
          <t>armour_value</t>
        </is>
      </c>
      <c r="AA1" s="1" t="inlineStr">
        <is>
          <t>hp</t>
        </is>
      </c>
      <c r="AB1" s="1" t="inlineStr">
        <is>
          <t>cost_lumber</t>
        </is>
      </c>
      <c r="AC1" s="1" t="inlineStr">
        <is>
          <t>atk1_weapon</t>
        </is>
      </c>
      <c r="AD1" s="1" t="inlineStr">
        <is>
          <t>atk1_base</t>
        </is>
      </c>
      <c r="AE1" s="1" t="inlineStr">
        <is>
          <t>atk1_dice</t>
        </is>
      </c>
      <c r="AF1" s="1" t="inlineStr">
        <is>
          <t>atk1_sides</t>
        </is>
      </c>
      <c r="AG1" s="1" t="inlineStr">
        <is>
          <t>atk1_type_resolved</t>
        </is>
      </c>
      <c r="AH1" s="1" t="inlineStr">
        <is>
          <t>base_unit</t>
        </is>
      </c>
      <c r="AI1" s="1" t="inlineStr">
        <is>
          <t>abilities</t>
        </is>
      </c>
      <c r="AJ1" s="1" t="inlineStr">
        <is>
          <t>tooltip</t>
        </is>
      </c>
      <c r="AK1" s="1" t="inlineStr">
        <is>
          <t>atk2_base</t>
        </is>
      </c>
      <c r="AL1" s="1" t="inlineStr">
        <is>
          <t>atk2_dice</t>
        </is>
      </c>
      <c r="AM1" s="1" t="inlineStr">
        <is>
          <t>atk2_sides</t>
        </is>
      </c>
      <c r="AN1" s="1" t="inlineStr">
        <is>
          <t>sources</t>
        </is>
      </c>
      <c r="AO1" s="1" t="inlineStr">
        <is>
          <t>obs_owner_label</t>
        </is>
      </c>
      <c r="AP1" s="1" t="inlineStr">
        <is>
          <t>obs_notes</t>
        </is>
      </c>
      <c r="AQ1" s="1" t="inlineStr">
        <is>
          <t>dps_raw</t>
        </is>
      </c>
      <c r="AR1" s="1" t="inlineStr">
        <is>
          <t>crit_multiplier</t>
        </is>
      </c>
      <c r="AS1" s="1" t="inlineStr">
        <is>
          <t>dps_with_crit</t>
        </is>
      </c>
      <c r="AT1" s="1" t="inlineStr">
        <is>
          <t>dps_per_gold</t>
        </is>
      </c>
      <c r="AU1" s="1" t="inlineStr">
        <is>
          <t>coverage_vs_725</t>
        </is>
      </c>
      <c r="AV1" s="1" t="inlineStr">
        <is>
          <t>dps_per_gold_coverage_adj</t>
        </is>
      </c>
      <c r="AW1" s="1" t="inlineStr">
        <is>
          <t>on_hit_dps</t>
        </is>
      </c>
      <c r="AX1" s="1" t="inlineStr">
        <is>
          <t>dot_dps</t>
        </is>
      </c>
      <c r="AY1" s="1" t="inlineStr">
        <is>
          <t>dps_total_est</t>
        </is>
      </c>
      <c r="AZ1" s="1" t="inlineStr">
        <is>
          <t>dps_per_gold_x_range</t>
        </is>
      </c>
      <c r="BA1" s="1" t="inlineStr">
        <is>
          <t>dps_source</t>
        </is>
      </c>
    </row>
    <row r="2">
      <c r="A2" t="inlineStr">
        <is>
          <t>Grayson's Fort Buster</t>
        </is>
      </c>
      <c r="B2" t="inlineStr">
        <is>
          <t>h03C</t>
        </is>
      </c>
      <c r="C2" t="n">
        <v>1</v>
      </c>
      <c r="D2" t="n">
        <v>175</v>
      </c>
      <c r="E2" t="n">
        <v>1</v>
      </c>
      <c r="H2" t="inlineStr">
        <is>
          <t>Fortitude (A047); Ground Splash (A01W)</t>
        </is>
      </c>
      <c r="I2" t="inlineStr">
        <is>
          <t>air,enemies,ground,nonancient</t>
        </is>
      </c>
      <c r="J2" t="n">
        <v>1501</v>
      </c>
      <c r="K2" t="n">
        <v>1505</v>
      </c>
      <c r="L2" t="n">
        <v>1503</v>
      </c>
      <c r="M2" t="n">
        <v>0.7</v>
      </c>
      <c r="N2" t="n">
        <v>700</v>
      </c>
      <c r="O2" t="inlineStr">
        <is>
          <t>siege</t>
        </is>
      </c>
      <c r="P2" t="n">
        <v>2147.1</v>
      </c>
      <c r="X2" t="inlineStr">
        <is>
          <t>enemies,ground,nonancient</t>
        </is>
      </c>
      <c r="Z2" t="n">
        <v>10</v>
      </c>
      <c r="AA2" t="n">
        <v>2750</v>
      </c>
      <c r="AB2" t="n">
        <v>0</v>
      </c>
      <c r="AC2" t="inlineStr">
        <is>
          <t>msplash</t>
        </is>
      </c>
      <c r="AD2" t="n">
        <v>1500</v>
      </c>
      <c r="AE2" t="n">
        <v>1</v>
      </c>
      <c r="AF2" t="n">
        <v>5</v>
      </c>
      <c r="AG2" t="inlineStr">
        <is>
          <t>siege</t>
        </is>
      </c>
      <c r="AH2" t="inlineStr">
        <is>
          <t>hhou</t>
        </is>
      </c>
      <c r="AI2" t="inlineStr">
        <is>
          <t>A047,A028,A01W</t>
        </is>
      </c>
      <c r="AJ2" t="inlineStr">
        <is>
          <t>Build Grayson's Fort Buster ( R )</t>
        </is>
      </c>
      <c r="AQ2" t="n">
        <v>2147.1</v>
      </c>
      <c r="AR2" t="n">
        <v>1</v>
      </c>
      <c r="AS2">
        <f>AQ2*AR2</f>
        <v/>
      </c>
      <c r="AT2">
        <f>IF(D2=0,"",AY2/D2)</f>
        <v/>
      </c>
      <c r="AU2">
        <f>(N2/725)^2</f>
        <v/>
      </c>
      <c r="AV2">
        <f>IF(D2=0,"",AT2*AU2)</f>
        <v/>
      </c>
      <c r="AY2">
        <f>AS2+N(AW2)+N(AX2)</f>
        <v/>
      </c>
      <c r="AZ2">
        <f>IF(D2=0,"",AT2*(N2/725))</f>
        <v/>
      </c>
      <c r="BA2" t="inlineStr">
        <is>
          <t>basic attack</t>
        </is>
      </c>
    </row>
    <row r="3">
      <c r="A3" t="inlineStr">
        <is>
          <t>Stealth Maiden</t>
        </is>
      </c>
      <c r="B3" t="inlineStr">
        <is>
          <t>h02M</t>
        </is>
      </c>
      <c r="C3" t="n">
        <v>1</v>
      </c>
      <c r="D3" t="n">
        <v>35</v>
      </c>
      <c r="E3" t="n">
        <v>0</v>
      </c>
      <c r="G3" t="inlineStr">
        <is>
          <t>Loki</t>
        </is>
      </c>
      <c r="H3" t="inlineStr">
        <is>
          <t>Ground Critical Strike I (A003)</t>
        </is>
      </c>
      <c r="I3" t="inlineStr">
        <is>
          <t>air,enemies,ground,nonancient</t>
        </is>
      </c>
      <c r="J3" t="n">
        <v>44</v>
      </c>
      <c r="K3" t="n">
        <v>50</v>
      </c>
      <c r="L3" t="n">
        <v>47</v>
      </c>
      <c r="M3" t="n">
        <v>0.4</v>
      </c>
      <c r="N3" t="n">
        <v>550</v>
      </c>
      <c r="O3" t="inlineStr">
        <is>
          <t>hero</t>
        </is>
      </c>
      <c r="P3" t="n">
        <v>117.5</v>
      </c>
      <c r="Z3" t="n">
        <v>1</v>
      </c>
      <c r="AA3" t="n">
        <v>1250</v>
      </c>
      <c r="AB3" t="n">
        <v>0</v>
      </c>
      <c r="AC3" t="inlineStr">
        <is>
          <t>missile</t>
        </is>
      </c>
      <c r="AD3" t="n">
        <v>43</v>
      </c>
      <c r="AE3" t="n">
        <v>1</v>
      </c>
      <c r="AF3" t="n">
        <v>7</v>
      </c>
      <c r="AG3" t="inlineStr">
        <is>
          <t>hero</t>
        </is>
      </c>
      <c r="AH3" t="inlineStr">
        <is>
          <t>hhou</t>
        </is>
      </c>
      <c r="AI3" t="inlineStr">
        <is>
          <t>A003,A028</t>
        </is>
      </c>
      <c r="AJ3" t="inlineStr">
        <is>
          <t>Build Stealth Maiden ( Q )</t>
        </is>
      </c>
      <c r="AO3" t="inlineStr">
        <is>
          <t>D1</t>
        </is>
      </c>
      <c r="AP3" t="inlineStr">
        <is>
          <t>HERO attack type - a third attack type after magic and chaos, and stock WC3 Hero damage takes reduced penalties from most armour types.</t>
        </is>
      </c>
      <c r="AQ3" t="n">
        <v>117.5</v>
      </c>
      <c r="AR3" t="n">
        <v>1.35</v>
      </c>
      <c r="AS3">
        <f>AQ3*AR3</f>
        <v/>
      </c>
      <c r="AT3">
        <f>IF(D3=0,"",AY3/D3)</f>
        <v/>
      </c>
      <c r="AU3">
        <f>(N3/725)^2</f>
        <v/>
      </c>
      <c r="AV3">
        <f>IF(D3=0,"",AT3*AU3)</f>
        <v/>
      </c>
      <c r="AY3">
        <f>AS3+N(AW3)+N(AX3)</f>
        <v/>
      </c>
      <c r="AZ3">
        <f>IF(D3=0,"",AT3*(N3/725))</f>
        <v/>
      </c>
      <c r="BA3" t="inlineStr">
        <is>
          <t>basic attack</t>
        </is>
      </c>
    </row>
    <row r="4">
      <c r="A4" t="inlineStr">
        <is>
          <t>Loki</t>
        </is>
      </c>
      <c r="B4" t="inlineStr">
        <is>
          <t>h02H</t>
        </is>
      </c>
      <c r="C4" t="n">
        <v>2</v>
      </c>
      <c r="E4" t="n">
        <v>0</v>
      </c>
      <c r="F4" t="inlineStr">
        <is>
          <t>Stealth Maiden</t>
        </is>
      </c>
      <c r="H4" t="inlineStr">
        <is>
          <t>Ground Critical Strike I (A003); Slow Poison I (Aspo)</t>
        </is>
      </c>
      <c r="I4" t="inlineStr">
        <is>
          <t>air,enemies,ground,nonancient</t>
        </is>
      </c>
      <c r="J4" t="n">
        <v>136</v>
      </c>
      <c r="K4" t="n">
        <v>143</v>
      </c>
      <c r="L4" t="n">
        <v>139.5</v>
      </c>
      <c r="M4" t="n">
        <v>0.5</v>
      </c>
      <c r="N4" t="n">
        <v>975</v>
      </c>
      <c r="O4" t="inlineStr">
        <is>
          <t>hero</t>
        </is>
      </c>
      <c r="P4" t="n">
        <v>279</v>
      </c>
      <c r="Z4" t="n">
        <v>2</v>
      </c>
      <c r="AA4" t="n">
        <v>1500</v>
      </c>
      <c r="AO4" t="inlineStr">
        <is>
          <t>D1</t>
        </is>
      </c>
      <c r="AP4" t="inlineStr">
        <is>
          <t>x2.9 damage over its base and nearly DOUBLE the range (550 -&gt; 975), which is the biggest range gain recorded on any upgrade.</t>
        </is>
      </c>
      <c r="AQ4" t="n">
        <v>279</v>
      </c>
      <c r="AR4" t="n">
        <v>1.35</v>
      </c>
      <c r="AS4">
        <f>AQ4*AR4</f>
        <v/>
      </c>
      <c r="AT4">
        <f>IF(D4=0,"",AY4/D4)</f>
        <v/>
      </c>
      <c r="AU4">
        <f>(N4/725)^2</f>
        <v/>
      </c>
      <c r="AV4">
        <f>IF(D4=0,"",AT4*AU4)</f>
        <v/>
      </c>
      <c r="AX4" t="n">
        <v>4</v>
      </c>
      <c r="AY4">
        <f>AS4+N(AW4)+N(AX4)</f>
        <v/>
      </c>
      <c r="AZ4">
        <f>IF(D4=0,"",AT4*(N4/725))</f>
        <v/>
      </c>
      <c r="BA4" t="inlineStr">
        <is>
          <t>basic attack</t>
        </is>
      </c>
    </row>
    <row r="5">
      <c r="A5" t="inlineStr">
        <is>
          <t>Tyr's Spirit</t>
        </is>
      </c>
      <c r="B5" t="inlineStr">
        <is>
          <t>h02G</t>
        </is>
      </c>
      <c r="C5" t="n">
        <v>1</v>
      </c>
      <c r="D5" t="n">
        <v>155</v>
      </c>
      <c r="E5" t="n">
        <v>0</v>
      </c>
      <c r="G5" t="inlineStr">
        <is>
          <t>Odin's Soul</t>
        </is>
      </c>
      <c r="H5" t="inlineStr">
        <is>
          <t>Bash I (ANbh); Slow Poison I (Aspo)</t>
        </is>
      </c>
      <c r="I5" t="inlineStr">
        <is>
          <t>air,enemies,ground,nonancient</t>
        </is>
      </c>
      <c r="J5" t="n">
        <v>194</v>
      </c>
      <c r="K5" t="n">
        <v>194</v>
      </c>
      <c r="L5" t="n">
        <v>194</v>
      </c>
      <c r="M5" t="n">
        <v>0.5</v>
      </c>
      <c r="N5" t="n">
        <v>700</v>
      </c>
      <c r="O5" t="inlineStr">
        <is>
          <t>hero</t>
        </is>
      </c>
      <c r="P5" t="n">
        <v>388</v>
      </c>
      <c r="Z5" t="n">
        <v>3</v>
      </c>
      <c r="AA5" t="n">
        <v>1500</v>
      </c>
      <c r="AB5" t="n">
        <v>0</v>
      </c>
      <c r="AC5" t="inlineStr">
        <is>
          <t>missile</t>
        </is>
      </c>
      <c r="AD5" t="n">
        <v>193</v>
      </c>
      <c r="AE5" t="n">
        <v>1</v>
      </c>
      <c r="AF5" t="n">
        <v>1</v>
      </c>
      <c r="AG5" t="inlineStr">
        <is>
          <t>hero</t>
        </is>
      </c>
      <c r="AH5" t="inlineStr">
        <is>
          <t>hhou</t>
        </is>
      </c>
      <c r="AI5" t="inlineStr">
        <is>
          <t>ANbh,A028,Aspo</t>
        </is>
      </c>
      <c r="AJ5" t="inlineStr">
        <is>
          <t>Build Tyr's Spirit ( W )</t>
        </is>
      </c>
      <c r="AQ5" t="n">
        <v>388</v>
      </c>
      <c r="AR5" t="n">
        <v>1</v>
      </c>
      <c r="AS5">
        <f>AQ5*AR5</f>
        <v/>
      </c>
      <c r="AT5">
        <f>IF(D5=0,"",AY5/D5)</f>
        <v/>
      </c>
      <c r="AU5">
        <f>(N5/725)^2</f>
        <v/>
      </c>
      <c r="AV5">
        <f>IF(D5=0,"",AT5*AU5)</f>
        <v/>
      </c>
      <c r="AW5" t="n">
        <v>20</v>
      </c>
      <c r="AX5" t="n">
        <v>4</v>
      </c>
      <c r="AY5">
        <f>AS5+N(AW5)+N(AX5)</f>
        <v/>
      </c>
      <c r="AZ5">
        <f>IF(D5=0,"",AT5*(N5/725))</f>
        <v/>
      </c>
      <c r="BA5" t="inlineStr">
        <is>
          <t>basic attack</t>
        </is>
      </c>
    </row>
    <row r="6">
      <c r="A6" t="inlineStr">
        <is>
          <t>Odin's Soul</t>
        </is>
      </c>
      <c r="B6" t="inlineStr">
        <is>
          <t>h02F</t>
        </is>
      </c>
      <c r="C6" t="n">
        <v>2</v>
      </c>
      <c r="D6" t="n">
        <v>255</v>
      </c>
      <c r="E6" t="n">
        <v>0</v>
      </c>
      <c r="F6" t="inlineStr">
        <is>
          <t>Tyr's Spirit</t>
        </is>
      </c>
      <c r="H6" t="inlineStr">
        <is>
          <t>Boss Assassin I (A03D); Splash (A021)</t>
        </is>
      </c>
      <c r="I6" t="inlineStr">
        <is>
          <t>air,enemies,ground,nonancient</t>
        </is>
      </c>
      <c r="J6" t="n">
        <v>1260</v>
      </c>
      <c r="K6" t="n">
        <v>1268</v>
      </c>
      <c r="L6" t="n">
        <v>1264</v>
      </c>
      <c r="M6" t="n">
        <v>0.8</v>
      </c>
      <c r="N6" t="n">
        <v>700</v>
      </c>
      <c r="O6" t="inlineStr">
        <is>
          <t>hero</t>
        </is>
      </c>
      <c r="P6" t="n">
        <v>1580</v>
      </c>
      <c r="X6" t="inlineStr">
        <is>
          <t>air,enemies,ground,nonancient</t>
        </is>
      </c>
      <c r="Z6" t="n">
        <v>4</v>
      </c>
      <c r="AA6" t="n">
        <v>2000</v>
      </c>
      <c r="AB6" t="n">
        <v>0</v>
      </c>
      <c r="AC6" t="inlineStr">
        <is>
          <t>msplash</t>
        </is>
      </c>
      <c r="AD6" t="n">
        <v>1259</v>
      </c>
      <c r="AE6" t="n">
        <v>1</v>
      </c>
      <c r="AF6" t="n">
        <v>9</v>
      </c>
      <c r="AG6" t="inlineStr">
        <is>
          <t>hero</t>
        </is>
      </c>
      <c r="AH6" t="inlineStr">
        <is>
          <t>hhou</t>
        </is>
      </c>
      <c r="AI6" t="inlineStr">
        <is>
          <t>A03D,A021,A028</t>
        </is>
      </c>
      <c r="AJ6" t="inlineStr">
        <is>
          <t>U pgrade to Odin's Soul</t>
        </is>
      </c>
      <c r="AO6" t="inlineStr">
        <is>
          <t>D3</t>
        </is>
      </c>
      <c r="AP6" t="inlineStr">
        <is>
          <t>STRONGEST TOWER RECORDED IN ANY KIT: 34.19 range-adjusted vs heroes, ahead of Absolute Zero (26.60) and Arcadia (23.90). FULL TRAIT SWAP: Tyr Spirit carried Bash I + slow poison I; this carries Boss Assassin I + splash - BOTH traits replaced, not merely one, alongside x6.5 damage. Also CONFIRMS Boss Assassin I at 50% x4 vs heroes, which had been inferred from the II tier.</t>
        </is>
      </c>
      <c r="AQ6" t="n">
        <v>1580</v>
      </c>
      <c r="AR6" t="n">
        <v>1</v>
      </c>
      <c r="AS6">
        <f>AQ6*AR6</f>
        <v/>
      </c>
      <c r="AT6">
        <f>IF(D6=0,"",AY6/D6)</f>
        <v/>
      </c>
      <c r="AU6">
        <f>(N6/725)^2</f>
        <v/>
      </c>
      <c r="AV6">
        <f>IF(D6=0,"",AT6*AU6)</f>
        <v/>
      </c>
      <c r="AY6">
        <f>AS6+N(AW6)+N(AX6)</f>
        <v/>
      </c>
      <c r="AZ6">
        <f>IF(D6=0,"",AT6*(N6/725))</f>
        <v/>
      </c>
      <c r="BA6" t="inlineStr">
        <is>
          <t>basic attack</t>
        </is>
      </c>
    </row>
    <row r="7">
      <c r="A7" t="inlineStr">
        <is>
          <t>Peppy Bronzebeard</t>
        </is>
      </c>
      <c r="B7" t="inlineStr">
        <is>
          <t>h02I</t>
        </is>
      </c>
      <c r="C7" t="n">
        <v>1</v>
      </c>
      <c r="D7" t="n">
        <v>295</v>
      </c>
      <c r="E7" t="n">
        <v>0</v>
      </c>
      <c r="G7" t="inlineStr">
        <is>
          <t>Sky Sweeper</t>
        </is>
      </c>
      <c r="H7" t="inlineStr">
        <is>
          <t>Slow Poison III (A00T)</t>
        </is>
      </c>
      <c r="I7" t="inlineStr">
        <is>
          <t>air,enemies,ground,nonancient</t>
        </is>
      </c>
      <c r="J7" t="n">
        <v>891</v>
      </c>
      <c r="K7" t="n">
        <v>891</v>
      </c>
      <c r="L7" t="n">
        <v>891</v>
      </c>
      <c r="M7" t="n">
        <v>0.6</v>
      </c>
      <c r="N7" t="n">
        <v>700</v>
      </c>
      <c r="O7" t="inlineStr">
        <is>
          <t>hero</t>
        </is>
      </c>
      <c r="P7" t="n">
        <v>1485</v>
      </c>
      <c r="AA7" t="n">
        <v>1750</v>
      </c>
      <c r="AB7" t="n">
        <v>0</v>
      </c>
      <c r="AC7" t="inlineStr">
        <is>
          <t>missile</t>
        </is>
      </c>
      <c r="AD7" t="n">
        <v>890</v>
      </c>
      <c r="AE7" t="n">
        <v>1</v>
      </c>
      <c r="AF7" t="n">
        <v>1</v>
      </c>
      <c r="AG7" t="inlineStr">
        <is>
          <t>hero</t>
        </is>
      </c>
      <c r="AH7" t="inlineStr">
        <is>
          <t>hhou</t>
        </is>
      </c>
      <c r="AI7" t="inlineStr">
        <is>
          <t>A028,A00T</t>
        </is>
      </c>
      <c r="AJ7" t="inlineStr">
        <is>
          <t>Build Peppy Bronzebeard ( E )</t>
        </is>
      </c>
      <c r="AQ7" t="n">
        <v>1485</v>
      </c>
      <c r="AR7" t="n">
        <v>1</v>
      </c>
      <c r="AS7">
        <f>AQ7*AR7</f>
        <v/>
      </c>
      <c r="AT7">
        <f>IF(D7=0,"",AY7/D7)</f>
        <v/>
      </c>
      <c r="AU7">
        <f>(N7/725)^2</f>
        <v/>
      </c>
      <c r="AV7">
        <f>IF(D7=0,"",AT7*AU7)</f>
        <v/>
      </c>
      <c r="AX7" t="n">
        <v>250</v>
      </c>
      <c r="AY7">
        <f>AS7+N(AW7)+N(AX7)</f>
        <v/>
      </c>
      <c r="AZ7">
        <f>IF(D7=0,"",AT7*(N7/725))</f>
        <v/>
      </c>
      <c r="BA7" t="inlineStr">
        <is>
          <t>basic attack</t>
        </is>
      </c>
    </row>
    <row r="8">
      <c r="A8" t="inlineStr">
        <is>
          <t>Sky Sweeper</t>
        </is>
      </c>
      <c r="B8" t="inlineStr">
        <is>
          <t>h02R</t>
        </is>
      </c>
      <c r="C8" t="n">
        <v>2</v>
      </c>
      <c r="D8" t="n">
        <v>340</v>
      </c>
      <c r="E8" t="n">
        <v>0</v>
      </c>
      <c r="F8" t="inlineStr">
        <is>
          <t>Peppy Bronzebeard</t>
        </is>
      </c>
      <c r="H8" t="inlineStr">
        <is>
          <t>Splash (A021); Air Critical Strike II (A006)</t>
        </is>
      </c>
      <c r="I8" t="inlineStr">
        <is>
          <t>enemies,ground,nonancient</t>
        </is>
      </c>
      <c r="J8" t="n">
        <v>776</v>
      </c>
      <c r="K8" t="n">
        <v>780</v>
      </c>
      <c r="L8" t="n">
        <v>778</v>
      </c>
      <c r="M8" t="n">
        <v>0.45</v>
      </c>
      <c r="N8" t="n">
        <v>650</v>
      </c>
      <c r="O8" t="inlineStr">
        <is>
          <t>hero</t>
        </is>
      </c>
      <c r="P8" t="n">
        <v>1728.9</v>
      </c>
      <c r="Q8" t="n">
        <v>326</v>
      </c>
      <c r="R8" t="n">
        <v>330</v>
      </c>
      <c r="S8" t="n">
        <v>328</v>
      </c>
      <c r="T8" t="n">
        <v>0.17</v>
      </c>
      <c r="U8" t="n">
        <v>650</v>
      </c>
      <c r="V8" t="inlineStr">
        <is>
          <t>magic</t>
        </is>
      </c>
      <c r="W8" t="n">
        <v>1929.4</v>
      </c>
      <c r="X8" t="inlineStr">
        <is>
          <t>enemies,ground,nonancient</t>
        </is>
      </c>
      <c r="Z8" t="n">
        <v>6</v>
      </c>
      <c r="AA8" t="n">
        <v>2250</v>
      </c>
      <c r="AB8" t="n">
        <v>0</v>
      </c>
      <c r="AC8" t="inlineStr">
        <is>
          <t>msplash</t>
        </is>
      </c>
      <c r="AD8" t="n">
        <v>775</v>
      </c>
      <c r="AE8" t="n">
        <v>1</v>
      </c>
      <c r="AF8" t="n">
        <v>5</v>
      </c>
      <c r="AG8" t="inlineStr">
        <is>
          <t>hero</t>
        </is>
      </c>
      <c r="AH8" t="inlineStr">
        <is>
          <t>hhou</t>
        </is>
      </c>
      <c r="AI8" t="inlineStr">
        <is>
          <t>A028,A021,A006</t>
        </is>
      </c>
      <c r="AJ8" t="inlineStr">
        <is>
          <t>U pgrade to Sky Sweeper</t>
        </is>
      </c>
      <c r="AK8" t="n">
        <v>325</v>
      </c>
      <c r="AL8" t="n">
        <v>1</v>
      </c>
      <c r="AM8" t="n">
        <v>5</v>
      </c>
      <c r="AP8" t="inlineStr">
        <is>
          <t>ONLY DUAL-ATTACK-TYPE TOWER RECORDED: it deals hero AND magic damage in the same volley. That is a HEDGE AGAINST THE ARMOUR MATRIX - against a pure-hero tower of the same total damage it is -9% on Medium, level on Heavy, and +15% on FORTIFIED where hero damage is halved. So it trades peak for floor: it can never be fully countered by armour type. ASSUMPTION: both profiles fire each cycle. If they alternate, halve every figure here - worth confirming. 20.83 vs air on the both-fire reading.</t>
        </is>
      </c>
      <c r="AQ8" t="n">
        <v>1728.9</v>
      </c>
      <c r="AR8" t="n">
        <v>2.5</v>
      </c>
      <c r="AS8">
        <f>AQ8*AR8</f>
        <v/>
      </c>
      <c r="AT8">
        <f>IF(D8=0,"",AY8/D8)</f>
        <v/>
      </c>
      <c r="AU8">
        <f>(N8/725)^2</f>
        <v/>
      </c>
      <c r="AV8">
        <f>IF(D8=0,"",AT8*AU8)</f>
        <v/>
      </c>
      <c r="AY8">
        <f>AS8+N(AW8)+N(AX8)</f>
        <v/>
      </c>
      <c r="AZ8">
        <f>IF(D8=0,"",AT8*(N8/725))</f>
        <v/>
      </c>
      <c r="BA8" t="inlineStr">
        <is>
          <t>basic attack</t>
        </is>
      </c>
    </row>
    <row r="9">
      <c r="A9" t="inlineStr">
        <is>
          <t>Ignatious</t>
        </is>
      </c>
      <c r="B9" t="inlineStr">
        <is>
          <t>h02O</t>
        </is>
      </c>
      <c r="C9" t="n">
        <v>1</v>
      </c>
      <c r="D9" t="n">
        <v>75</v>
      </c>
      <c r="E9" t="n">
        <v>0</v>
      </c>
      <c r="G9" t="inlineStr">
        <is>
          <t>Prince Delphian</t>
        </is>
      </c>
      <c r="H9" t="inlineStr">
        <is>
          <t>Air Slow Poison (A03X); Boss Assassin II (A00R)</t>
        </is>
      </c>
      <c r="I9" t="inlineStr">
        <is>
          <t>air,enemies,ground,nonancient</t>
        </is>
      </c>
      <c r="J9" t="n">
        <v>87</v>
      </c>
      <c r="K9" t="n">
        <v>87</v>
      </c>
      <c r="L9" t="n">
        <v>87</v>
      </c>
      <c r="M9" t="n">
        <v>0.55</v>
      </c>
      <c r="N9" t="n">
        <v>700</v>
      </c>
      <c r="O9" t="inlineStr">
        <is>
          <t>magic</t>
        </is>
      </c>
      <c r="P9" t="n">
        <v>158.2</v>
      </c>
      <c r="Z9" t="n">
        <v>1</v>
      </c>
      <c r="AA9" t="n">
        <v>1250</v>
      </c>
      <c r="AB9" t="n">
        <v>0</v>
      </c>
      <c r="AC9" t="inlineStr">
        <is>
          <t>missile</t>
        </is>
      </c>
      <c r="AD9" t="n">
        <v>86</v>
      </c>
      <c r="AE9" t="n">
        <v>1</v>
      </c>
      <c r="AF9" t="n">
        <v>1</v>
      </c>
      <c r="AG9" t="inlineStr">
        <is>
          <t>magic</t>
        </is>
      </c>
      <c r="AH9" t="inlineStr">
        <is>
          <t>hhou</t>
        </is>
      </c>
      <c r="AI9" t="inlineStr">
        <is>
          <t>A03X,A00R,A028</t>
        </is>
      </c>
      <c r="AJ9" t="inlineStr">
        <is>
          <t>Build Ignatious ( A )</t>
        </is>
      </c>
      <c r="AO9" t="inlineStr">
        <is>
          <t>D2</t>
        </is>
      </c>
      <c r="AP9" t="inlineStr">
        <is>
          <t>The 70% slow is the strongest slow recorded anywhere - Poison II is 40%. Note it is AIR slow poison, so the tower answers air by CONTROL while answering bosses by DAMAGE.</t>
        </is>
      </c>
      <c r="AQ9" t="n">
        <v>158.2</v>
      </c>
      <c r="AR9" t="n">
        <v>1</v>
      </c>
      <c r="AS9">
        <f>AQ9*AR9</f>
        <v/>
      </c>
      <c r="AT9">
        <f>IF(D9=0,"",AY9/D9)</f>
        <v/>
      </c>
      <c r="AU9">
        <f>(N9/725)^2</f>
        <v/>
      </c>
      <c r="AV9">
        <f>IF(D9=0,"",AT9*AU9)</f>
        <v/>
      </c>
      <c r="AY9">
        <f>AS9+N(AW9)+N(AX9)</f>
        <v/>
      </c>
      <c r="AZ9">
        <f>IF(D9=0,"",AT9*(N9/725))</f>
        <v/>
      </c>
      <c r="BA9" t="inlineStr">
        <is>
          <t>basic attack</t>
        </is>
      </c>
    </row>
    <row r="10">
      <c r="A10" t="inlineStr">
        <is>
          <t>Prince Delphian</t>
        </is>
      </c>
      <c r="B10" t="inlineStr">
        <is>
          <t>h02N</t>
        </is>
      </c>
      <c r="C10" t="n">
        <v>2</v>
      </c>
      <c r="D10" t="n">
        <v>135</v>
      </c>
      <c r="E10" t="n">
        <v>0</v>
      </c>
      <c r="F10" t="inlineStr">
        <is>
          <t>Ignatious</t>
        </is>
      </c>
      <c r="H10" t="inlineStr">
        <is>
          <t>Splash (A021); Air Critical Strike I (A005)</t>
        </is>
      </c>
      <c r="I10" t="inlineStr">
        <is>
          <t>air,enemies,ground,nonancient</t>
        </is>
      </c>
      <c r="J10" t="n">
        <v>166</v>
      </c>
      <c r="K10" t="n">
        <v>168</v>
      </c>
      <c r="L10" t="n">
        <v>167</v>
      </c>
      <c r="M10" t="n">
        <v>0.4</v>
      </c>
      <c r="N10" t="n">
        <v>700</v>
      </c>
      <c r="O10" t="inlineStr">
        <is>
          <t>magic</t>
        </is>
      </c>
      <c r="P10" t="n">
        <v>417.5</v>
      </c>
      <c r="X10" t="inlineStr">
        <is>
          <t>air,enemies,ground,nonancient</t>
        </is>
      </c>
      <c r="Z10" t="n">
        <v>2</v>
      </c>
      <c r="AA10" t="n">
        <v>1500</v>
      </c>
      <c r="AB10" t="n">
        <v>0</v>
      </c>
      <c r="AC10" t="inlineStr">
        <is>
          <t>msplash</t>
        </is>
      </c>
      <c r="AD10" t="n">
        <v>165</v>
      </c>
      <c r="AE10" t="n">
        <v>1</v>
      </c>
      <c r="AF10" t="n">
        <v>3</v>
      </c>
      <c r="AG10" t="inlineStr">
        <is>
          <t>magic</t>
        </is>
      </c>
      <c r="AH10" t="inlineStr">
        <is>
          <t>hhou</t>
        </is>
      </c>
      <c r="AI10" t="inlineStr">
        <is>
          <t>A021,A028,A005</t>
        </is>
      </c>
      <c r="AJ10" t="inlineStr">
        <is>
          <t>U pgrade to Prince Delphian</t>
        </is>
      </c>
      <c r="AO10" t="inlineStr">
        <is>
          <t>D2</t>
        </is>
      </c>
      <c r="AP10" t="inlineStr">
        <is>
          <t>TRAIT SWAP - CONFIRMED by the owner 2026-09-05. The upgrade TRADES Boss Assassin II for Air Critical Strike I: it stops being the anti-boss tower and becomes an anti-air one. So an upgrade here is a ROLE decision, not a power decision. Note the efficiency consequence: Ignatious is 14.40 range-adjusted vs heroes, Prince Delphian is 4.27 vs air - upgrading is a straight LOSS unless you need the role it swaps to.</t>
        </is>
      </c>
      <c r="AQ10" t="n">
        <v>417.5</v>
      </c>
      <c r="AR10" t="n">
        <v>1.25</v>
      </c>
      <c r="AS10">
        <f>AQ10*AR10</f>
        <v/>
      </c>
      <c r="AT10">
        <f>IF(D10=0,"",AY10/D10)</f>
        <v/>
      </c>
      <c r="AU10">
        <f>(N10/725)^2</f>
        <v/>
      </c>
      <c r="AV10">
        <f>IF(D10=0,"",AT10*AU10)</f>
        <v/>
      </c>
      <c r="AY10">
        <f>AS10+N(AW10)+N(AX10)</f>
        <v/>
      </c>
      <c r="AZ10">
        <f>IF(D10=0,"",AT10*(N10/725))</f>
        <v/>
      </c>
      <c r="BA10" t="inlineStr">
        <is>
          <t>basic attack</t>
        </is>
      </c>
    </row>
    <row r="11">
      <c r="A11" t="inlineStr">
        <is>
          <t>High Priest</t>
        </is>
      </c>
      <c r="B11" t="inlineStr">
        <is>
          <t>h02Q</t>
        </is>
      </c>
      <c r="C11" t="n">
        <v>1</v>
      </c>
      <c r="D11" t="n">
        <v>175</v>
      </c>
      <c r="E11" t="n">
        <v>0</v>
      </c>
      <c r="G11" t="inlineStr">
        <is>
          <t>Martyr</t>
        </is>
      </c>
      <c r="H11" t="inlineStr">
        <is>
          <t>Vindicator II (A03C); Cure II (A03V); Judgement (A00N)</t>
        </is>
      </c>
      <c r="I11" t="inlineStr">
        <is>
          <t>air,enemies,ground,nonancient</t>
        </is>
      </c>
      <c r="J11" t="n">
        <v>280</v>
      </c>
      <c r="K11" t="n">
        <v>280</v>
      </c>
      <c r="L11" t="n">
        <v>280</v>
      </c>
      <c r="M11" t="n">
        <v>0.6</v>
      </c>
      <c r="N11" t="n">
        <v>700</v>
      </c>
      <c r="O11" t="inlineStr">
        <is>
          <t>magic</t>
        </is>
      </c>
      <c r="P11" t="n">
        <v>466.7</v>
      </c>
      <c r="Z11" t="n">
        <v>3</v>
      </c>
      <c r="AA11" t="n">
        <v>1750</v>
      </c>
      <c r="AB11" t="n">
        <v>0</v>
      </c>
      <c r="AC11" t="inlineStr">
        <is>
          <t>missile</t>
        </is>
      </c>
      <c r="AD11" t="n">
        <v>279</v>
      </c>
      <c r="AE11" t="n">
        <v>1</v>
      </c>
      <c r="AF11" t="n">
        <v>1</v>
      </c>
      <c r="AG11" t="inlineStr">
        <is>
          <t>magic</t>
        </is>
      </c>
      <c r="AH11" t="inlineStr">
        <is>
          <t>hhou</t>
        </is>
      </c>
      <c r="AI11" t="inlineStr">
        <is>
          <t>A03C,A03V,A028,A00N</t>
        </is>
      </c>
      <c r="AJ11" t="inlineStr">
        <is>
          <t>Build High Priest ( S )</t>
        </is>
      </c>
      <c r="AO11" t="inlineStr">
        <is>
          <t>D5</t>
        </is>
      </c>
      <c r="AP11" t="inlineStr">
        <is>
          <t>Unlock confirmed by the owner 2026-09-05. THREE named traits on one tower - the most recorded, and the clearest single piece of evidence that towers are ASSEMBLED from a shared library rather than authored as bespoke stat blocks. Two of the three match towers in OTHER kits: Vindicator II (50% x6 attacking) is what the treant Arcadia has been carrying unnamed, and Judgement (100 dps vs air) is the same 100 dps as Little Jack's tornado, at 20s here against 10s there. 15.45 range-adjusted vs attacking, 4.41 untyped.</t>
        </is>
      </c>
      <c r="AQ11" t="n">
        <v>466.7</v>
      </c>
      <c r="AR11" t="n">
        <v>3.5</v>
      </c>
      <c r="AS11">
        <f>AQ11*AR11</f>
        <v/>
      </c>
      <c r="AT11">
        <f>IF(D11=0,"",AY11/D11)</f>
        <v/>
      </c>
      <c r="AU11">
        <f>(N11/725)^2</f>
        <v/>
      </c>
      <c r="AV11">
        <f>IF(D11=0,"",AT11*AU11)</f>
        <v/>
      </c>
      <c r="AX11" t="n">
        <v>100</v>
      </c>
      <c r="AY11">
        <f>AS11+N(AW11)+N(AX11)</f>
        <v/>
      </c>
      <c r="AZ11">
        <f>IF(D11=0,"",AT11*(N11/725))</f>
        <v/>
      </c>
      <c r="BA11" t="inlineStr">
        <is>
          <t>basic attack</t>
        </is>
      </c>
    </row>
    <row r="12">
      <c r="A12" t="inlineStr">
        <is>
          <t>Martyr</t>
        </is>
      </c>
      <c r="B12" t="inlineStr">
        <is>
          <t>h02L</t>
        </is>
      </c>
      <c r="C12" t="n">
        <v>2</v>
      </c>
      <c r="D12" t="n">
        <v>260</v>
      </c>
      <c r="E12" t="n">
        <v>0</v>
      </c>
      <c r="F12" t="inlineStr">
        <is>
          <t>High Priest</t>
        </is>
      </c>
      <c r="H12" t="inlineStr">
        <is>
          <t>Cure II (A03V); Vindicator III (A02Z); Judgement (A00N); Air Critical Strike II (A006)</t>
        </is>
      </c>
      <c r="I12" t="inlineStr">
        <is>
          <t>air,enemies,ground,nonancient</t>
        </is>
      </c>
      <c r="J12" t="n">
        <v>313</v>
      </c>
      <c r="K12" t="n">
        <v>320</v>
      </c>
      <c r="L12" t="n">
        <v>316.5</v>
      </c>
      <c r="M12" t="n">
        <v>0.25</v>
      </c>
      <c r="N12" t="n">
        <v>900</v>
      </c>
      <c r="O12" t="inlineStr">
        <is>
          <t>magic</t>
        </is>
      </c>
      <c r="P12" t="n">
        <v>1266</v>
      </c>
      <c r="Z12" t="n">
        <v>4</v>
      </c>
      <c r="AA12" t="n">
        <v>2000</v>
      </c>
      <c r="AB12" t="n">
        <v>0</v>
      </c>
      <c r="AC12" t="inlineStr">
        <is>
          <t>missile</t>
        </is>
      </c>
      <c r="AD12" t="n">
        <v>312</v>
      </c>
      <c r="AE12" t="n">
        <v>1</v>
      </c>
      <c r="AF12" t="n">
        <v>8</v>
      </c>
      <c r="AG12" t="inlineStr">
        <is>
          <t>magic</t>
        </is>
      </c>
      <c r="AH12" t="inlineStr">
        <is>
          <t>hhou</t>
        </is>
      </c>
      <c r="AI12" t="inlineStr">
        <is>
          <t>A03V,A02Z,A00N,A028,A006</t>
        </is>
      </c>
      <c r="AJ12" t="inlineStr">
        <is>
          <t>U pgrade to Martyr</t>
        </is>
      </c>
      <c r="AO12" t="inlineStr">
        <is>
          <t>D5</t>
        </is>
      </c>
      <c r="AP12" t="inlineStr">
        <is>
          <t>SECOND-STRONGEST TOWER RECORDED (23.75 vs attacking, behind only Odin's Soul at 34.19) AND genuinely dual-role at 10.79 vs air. Four named traits, the most on any tower. Against its base High Priest it keeps Cure II and Judgement, tier-bumps Vindicator II -&gt; III, and adds Air Critical Strike II - three kinds of edit in one upgrade.</t>
        </is>
      </c>
      <c r="AQ12" t="n">
        <v>1266</v>
      </c>
      <c r="AR12" t="n">
        <v>5.5</v>
      </c>
      <c r="AS12">
        <f>AQ12*AR12</f>
        <v/>
      </c>
      <c r="AT12">
        <f>IF(D12=0,"",AY12/D12)</f>
        <v/>
      </c>
      <c r="AU12">
        <f>(N12/725)^2</f>
        <v/>
      </c>
      <c r="AV12">
        <f>IF(D12=0,"",AT12*AU12)</f>
        <v/>
      </c>
      <c r="AX12" t="n">
        <v>100</v>
      </c>
      <c r="AY12">
        <f>AS12+N(AW12)+N(AX12)</f>
        <v/>
      </c>
      <c r="AZ12">
        <f>IF(D12=0,"",AT12*(N12/725))</f>
        <v/>
      </c>
      <c r="BA12" t="inlineStr">
        <is>
          <t>basic attack</t>
        </is>
      </c>
    </row>
    <row r="13">
      <c r="A13" t="inlineStr">
        <is>
          <t>Petrified Cell</t>
        </is>
      </c>
      <c r="B13" t="inlineStr">
        <is>
          <t>h02P</t>
        </is>
      </c>
      <c r="C13" t="n">
        <v>1</v>
      </c>
      <c r="D13" t="n">
        <v>300</v>
      </c>
      <c r="E13" t="n">
        <v>0</v>
      </c>
      <c r="G13" t="inlineStr">
        <is>
          <t>D-String</t>
        </is>
      </c>
      <c r="H13" t="inlineStr">
        <is>
          <t>Fortitude (A047); Splash (A021); Frost I (Afra)</t>
        </is>
      </c>
      <c r="I13" t="inlineStr">
        <is>
          <t>air,enemies,ground,nonancient</t>
        </is>
      </c>
      <c r="J13" t="n">
        <v>600</v>
      </c>
      <c r="K13" t="n">
        <v>600</v>
      </c>
      <c r="L13" t="n">
        <v>600</v>
      </c>
      <c r="M13" t="n">
        <v>1</v>
      </c>
      <c r="N13" t="n">
        <v>700</v>
      </c>
      <c r="O13" t="inlineStr">
        <is>
          <t>hero</t>
        </is>
      </c>
      <c r="P13" t="n">
        <v>600</v>
      </c>
      <c r="X13" t="inlineStr">
        <is>
          <t>air,enemies,ground,nonancient</t>
        </is>
      </c>
      <c r="Z13" t="n">
        <v>8</v>
      </c>
      <c r="AA13" t="n">
        <v>3000</v>
      </c>
      <c r="AB13" t="n">
        <v>0</v>
      </c>
      <c r="AC13" t="inlineStr">
        <is>
          <t>msplash</t>
        </is>
      </c>
      <c r="AD13" t="n">
        <v>599</v>
      </c>
      <c r="AE13" t="n">
        <v>1</v>
      </c>
      <c r="AF13" t="n">
        <v>1</v>
      </c>
      <c r="AG13" t="inlineStr">
        <is>
          <t>hero</t>
        </is>
      </c>
      <c r="AH13" t="inlineStr">
        <is>
          <t>hhou</t>
        </is>
      </c>
      <c r="AI13" t="inlineStr">
        <is>
          <t>A047,A028,A021,Afra</t>
        </is>
      </c>
      <c r="AJ13" t="inlineStr">
        <is>
          <t>Build Petrified Cell ( C )</t>
        </is>
      </c>
      <c r="AQ13" t="n">
        <v>600</v>
      </c>
      <c r="AR13" t="n">
        <v>1</v>
      </c>
      <c r="AS13">
        <f>AQ13*AR13</f>
        <v/>
      </c>
      <c r="AT13">
        <f>IF(D13=0,"",AY13/D13)</f>
        <v/>
      </c>
      <c r="AU13">
        <f>(N13/725)^2</f>
        <v/>
      </c>
      <c r="AV13">
        <f>IF(D13=0,"",AT13*AU13)</f>
        <v/>
      </c>
      <c r="AY13">
        <f>AS13+N(AW13)+N(AX13)</f>
        <v/>
      </c>
      <c r="AZ13">
        <f>IF(D13=0,"",AT13*(N13/725))</f>
        <v/>
      </c>
      <c r="BA13" t="inlineStr">
        <is>
          <t>basic attack</t>
        </is>
      </c>
    </row>
    <row r="14">
      <c r="A14" t="inlineStr">
        <is>
          <t>D-String</t>
        </is>
      </c>
      <c r="B14" t="inlineStr">
        <is>
          <t>h02K</t>
        </is>
      </c>
      <c r="C14" t="n">
        <v>2</v>
      </c>
      <c r="D14" t="n">
        <v>449</v>
      </c>
      <c r="E14" t="n">
        <v>0</v>
      </c>
      <c r="F14" t="inlineStr">
        <is>
          <t>Petrified Cell</t>
        </is>
      </c>
      <c r="H14" t="inlineStr">
        <is>
          <t>Fortitude (A047); Splash (A021); Frost II (A002); Versatile Critical Strike II (A01E)</t>
        </is>
      </c>
      <c r="I14" t="inlineStr">
        <is>
          <t>air,enemies,ground,nonancient</t>
        </is>
      </c>
      <c r="J14" t="n">
        <v>326</v>
      </c>
      <c r="K14" t="n">
        <v>327</v>
      </c>
      <c r="L14" t="n">
        <v>326.5</v>
      </c>
      <c r="M14" t="n">
        <v>0.25</v>
      </c>
      <c r="N14" t="n">
        <v>800</v>
      </c>
      <c r="O14" t="inlineStr">
        <is>
          <t>hero</t>
        </is>
      </c>
      <c r="P14" t="n">
        <v>1306</v>
      </c>
      <c r="X14" t="inlineStr">
        <is>
          <t>air,enemies,ground,nonancient</t>
        </is>
      </c>
      <c r="Z14" t="n">
        <v>9</v>
      </c>
      <c r="AA14" t="n">
        <v>3250</v>
      </c>
      <c r="AB14" t="n">
        <v>0</v>
      </c>
      <c r="AC14" t="inlineStr">
        <is>
          <t>msplash</t>
        </is>
      </c>
      <c r="AD14" t="n">
        <v>325</v>
      </c>
      <c r="AE14" t="n">
        <v>1</v>
      </c>
      <c r="AF14" t="n">
        <v>2</v>
      </c>
      <c r="AG14" t="inlineStr">
        <is>
          <t>hero</t>
        </is>
      </c>
      <c r="AH14" t="inlineStr">
        <is>
          <t>hhou</t>
        </is>
      </c>
      <c r="AI14" t="inlineStr">
        <is>
          <t>A047,A028,A021,A002,A01E</t>
        </is>
      </c>
      <c r="AJ14" t="inlineStr">
        <is>
          <t>U pgrade to D-String</t>
        </is>
      </c>
      <c r="AP14" t="inlineStr">
        <is>
          <t>AN UPGRADE THAT LOWERS RAW DAMAGE: Petrified Shell is 600, this is 326 (-46%). It wins it back through crit RELIABILITY - Versatile II at 65% x2.75 gives an expected hit of 698 vs the base 600, so +16% despite the smaller number. VERSATILE II = 65% x2.75 against I's 35% x2.5: the CHANCE nearly doubled while the multiplier barely moved, so this tier scales reliability rather than peak. FROST TIERS SCALE DURATION, not the slow value (owner) - different again from Slow Poison, where both dps and slow% moved. So the scaling AXIS is per-trait too, not just the rate. Very rapid at 800 range gives 4.90 range-adjusted - and since Versatile hits ALL units, that applies on EVERY wave rather than on a schedule.</t>
        </is>
      </c>
      <c r="AQ14" t="n">
        <v>1306</v>
      </c>
      <c r="AR14" t="n">
        <v>2.05</v>
      </c>
      <c r="AS14">
        <f>AQ14*AR14</f>
        <v/>
      </c>
      <c r="AT14">
        <f>IF(D14=0,"",AY14/D14)</f>
        <v/>
      </c>
      <c r="AU14">
        <f>(N14/725)^2</f>
        <v/>
      </c>
      <c r="AV14">
        <f>IF(D14=0,"",AT14*AU14)</f>
        <v/>
      </c>
      <c r="AY14">
        <f>AS14+N(AW14)+N(AX14)</f>
        <v/>
      </c>
      <c r="AZ14">
        <f>IF(D14=0,"",AT14*(N14/725))</f>
        <v/>
      </c>
      <c r="BA14" t="inlineStr">
        <is>
          <t>basic attack</t>
        </is>
      </c>
    </row>
    <row r="15">
      <c r="A15" t="inlineStr">
        <is>
          <t>K Dig</t>
        </is>
      </c>
      <c r="B15" t="inlineStr">
        <is>
          <t>h02J</t>
        </is>
      </c>
      <c r="C15" t="n">
        <v>1</v>
      </c>
      <c r="D15" t="n">
        <v>105</v>
      </c>
      <c r="E15" t="n">
        <v>0</v>
      </c>
      <c r="G15" t="inlineStr">
        <is>
          <t>Xavier</t>
        </is>
      </c>
      <c r="H15" t="inlineStr">
        <is>
          <t>Healing Wave (ANhw); Weak Ground Splash (A01V); Air Deficiency (A009)</t>
        </is>
      </c>
      <c r="I15" t="inlineStr">
        <is>
          <t>air,enemies,ground,nonancient</t>
        </is>
      </c>
      <c r="J15" t="n">
        <v>79</v>
      </c>
      <c r="K15" t="n">
        <v>83</v>
      </c>
      <c r="L15" t="n">
        <v>81</v>
      </c>
      <c r="M15" t="n">
        <v>0.25</v>
      </c>
      <c r="N15" t="n">
        <v>700</v>
      </c>
      <c r="O15" t="inlineStr">
        <is>
          <t>siege</t>
        </is>
      </c>
      <c r="P15" t="n">
        <v>324</v>
      </c>
      <c r="X15" t="inlineStr">
        <is>
          <t>enemies,ground,nonancient</t>
        </is>
      </c>
      <c r="Z15" t="n">
        <v>1</v>
      </c>
      <c r="AA15" t="n">
        <v>1500</v>
      </c>
      <c r="AB15" t="n">
        <v>0</v>
      </c>
      <c r="AC15" t="inlineStr">
        <is>
          <t>msplash</t>
        </is>
      </c>
      <c r="AD15" t="n">
        <v>78</v>
      </c>
      <c r="AE15" t="n">
        <v>1</v>
      </c>
      <c r="AF15" t="n">
        <v>5</v>
      </c>
      <c r="AG15" t="inlineStr">
        <is>
          <t>siege</t>
        </is>
      </c>
      <c r="AH15" t="inlineStr">
        <is>
          <t>hhou</t>
        </is>
      </c>
      <c r="AI15" t="inlineStr">
        <is>
          <t>ANhw,A028,A01V,A009</t>
        </is>
      </c>
      <c r="AJ15" t="inlineStr">
        <is>
          <t>Build K Dig ( Z )</t>
        </is>
      </c>
      <c r="AO15" t="inlineStr">
        <is>
          <t>start</t>
        </is>
      </c>
      <c r="AP15" t="inlineStr">
        <is>
          <t>THREE firsts. (1) SIEGE attack type - fourth after magic, chaos and hero. (2) AIR DEFICIENCY is the first NEGATIVE trait recorded: 25% of hits deal quarter damage vs air, so it does 81.2% damage to air. The trait library contains DRAWBACKS, not only bonuses. (3) STRUCTURAL: DIRECTLY AVAILABLE - a third starting tower alongside D1 and D2. The owner first called it "T3" meaning third-available, then clarified the D3 slot is Tyr Spirit, so this sits outside the numbered progression. Low output (2.13 range-adj) - like Slammer, a UTILITY tower bought for its multi-target heal.</t>
        </is>
      </c>
      <c r="AQ15" t="n">
        <v>324</v>
      </c>
      <c r="AR15" t="n">
        <v>1</v>
      </c>
      <c r="AS15">
        <f>AQ15*AR15</f>
        <v/>
      </c>
      <c r="AT15">
        <f>IF(D15=0,"",AY15/D15)</f>
        <v/>
      </c>
      <c r="AU15">
        <f>(N15/725)^2</f>
        <v/>
      </c>
      <c r="AV15">
        <f>IF(D15=0,"",AT15*AU15)</f>
        <v/>
      </c>
      <c r="AY15">
        <f>AS15+N(AW15)+N(AX15)</f>
        <v/>
      </c>
      <c r="AZ15">
        <f>IF(D15=0,"",AT15*(N15/725))</f>
        <v/>
      </c>
      <c r="BA15" t="inlineStr">
        <is>
          <t>basic attack</t>
        </is>
      </c>
    </row>
    <row r="16">
      <c r="A16" t="inlineStr">
        <is>
          <t>Xavier</t>
        </is>
      </c>
      <c r="B16" t="inlineStr">
        <is>
          <t>h02E</t>
        </is>
      </c>
      <c r="C16" t="n">
        <v>2</v>
      </c>
      <c r="D16" t="n">
        <v>165</v>
      </c>
      <c r="E16" t="n">
        <v>0</v>
      </c>
      <c r="F16" t="inlineStr">
        <is>
          <t>K Dig</t>
        </is>
      </c>
      <c r="H16" t="inlineStr">
        <is>
          <t>Healing Wave (ANhw); Machine Critical Strike (A03Y); Ground Splash (A01W)</t>
        </is>
      </c>
      <c r="I16" t="inlineStr">
        <is>
          <t>air,enemies,ground,nonancient</t>
        </is>
      </c>
      <c r="J16" t="n">
        <v>308</v>
      </c>
      <c r="K16" t="n">
        <v>316</v>
      </c>
      <c r="L16" t="n">
        <v>312</v>
      </c>
      <c r="M16" t="n">
        <v>0.45</v>
      </c>
      <c r="N16" t="n">
        <v>900</v>
      </c>
      <c r="O16" t="inlineStr">
        <is>
          <t>siege</t>
        </is>
      </c>
      <c r="P16" t="n">
        <v>693.3</v>
      </c>
      <c r="X16" t="inlineStr">
        <is>
          <t>enemies,ground,nonancient</t>
        </is>
      </c>
      <c r="Z16" t="n">
        <v>2</v>
      </c>
      <c r="AA16" t="n">
        <v>1750</v>
      </c>
      <c r="AB16" t="n">
        <v>0</v>
      </c>
      <c r="AC16" t="inlineStr">
        <is>
          <t>msplash</t>
        </is>
      </c>
      <c r="AD16" t="n">
        <v>307</v>
      </c>
      <c r="AE16" t="n">
        <v>1</v>
      </c>
      <c r="AF16" t="n">
        <v>9</v>
      </c>
      <c r="AG16" t="inlineStr">
        <is>
          <t>siege</t>
        </is>
      </c>
      <c r="AH16" t="inlineStr">
        <is>
          <t>hhou</t>
        </is>
      </c>
      <c r="AI16" t="inlineStr">
        <is>
          <t>ANhw,A03Y,A028,A01W</t>
        </is>
      </c>
      <c r="AJ16" t="inlineStr">
        <is>
          <t>U pgrade to Xavier</t>
        </is>
      </c>
      <c r="AO16" t="inlineStr">
        <is>
          <t>start</t>
        </is>
      </c>
      <c r="AP16" t="inlineStr">
        <is>
          <t>A huge step over K-Dig: damage x3.9 (81 -&gt; 312), range 700 -&gt; 900, and 2.13 -&gt; 13.41 range-adjusted vs mechanical. The upgrade KEEPS the heal (owner-confirmed) and ADDS Machine Critical Strike, so this kit does all three upgrade flavours - Ignatious SWAPS a trait, this one KEEPS and ADDS. CONFIRMED 2026-09-05: the upgrade REMOVES Air Deficiency. So this kit demonstrates all THREE upgrade flavours - Ignatious swaps a trait away, Xavier keeps one, adds one, and drops a drawback. "Remove a negative" is a real upgrade payoff here.</t>
        </is>
      </c>
      <c r="AQ16" t="n">
        <v>693.3</v>
      </c>
      <c r="AR16" t="n">
        <v>1.8</v>
      </c>
      <c r="AS16">
        <f>AQ16*AR16</f>
        <v/>
      </c>
      <c r="AT16">
        <f>IF(D16=0,"",AY16/D16)</f>
        <v/>
      </c>
      <c r="AU16">
        <f>(N16/725)^2</f>
        <v/>
      </c>
      <c r="AV16">
        <f>IF(D16=0,"",AT16*AU16)</f>
        <v/>
      </c>
      <c r="AY16">
        <f>AS16+N(AW16)+N(AX16)</f>
        <v/>
      </c>
      <c r="AZ16">
        <f>IF(D16=0,"",AT16*(N16/725))</f>
        <v/>
      </c>
      <c r="BA16" t="inlineStr">
        <is>
          <t>basic attack</t>
        </is>
      </c>
    </row>
    <row r="17">
      <c r="A17" t="inlineStr">
        <is>
          <t>Captain Bartlebee</t>
        </is>
      </c>
      <c r="B17" t="inlineStr">
        <is>
          <t>h02D</t>
        </is>
      </c>
      <c r="C17" t="n">
        <v>1</v>
      </c>
      <c r="D17" t="n">
        <v>285</v>
      </c>
      <c r="E17" t="n">
        <v>0</v>
      </c>
      <c r="G17" t="inlineStr">
        <is>
          <t>Delphinus</t>
        </is>
      </c>
      <c r="H17" t="inlineStr">
        <is>
          <t>Bash II (ACbh); Versatile Critical Strike I (A004)</t>
        </is>
      </c>
      <c r="I17" t="inlineStr">
        <is>
          <t>air,enemies,ground,nonancient</t>
        </is>
      </c>
      <c r="J17" t="n">
        <v>357</v>
      </c>
      <c r="K17" t="n">
        <v>364</v>
      </c>
      <c r="L17" t="n">
        <v>360.5</v>
      </c>
      <c r="M17" t="n">
        <v>0.5</v>
      </c>
      <c r="N17" t="n">
        <v>350</v>
      </c>
      <c r="O17" t="inlineStr">
        <is>
          <t>hero</t>
        </is>
      </c>
      <c r="P17" t="n">
        <v>721</v>
      </c>
      <c r="Z17" t="n">
        <v>3</v>
      </c>
      <c r="AA17" t="n">
        <v>2000</v>
      </c>
      <c r="AB17" t="n">
        <v>0</v>
      </c>
      <c r="AC17" t="inlineStr">
        <is>
          <t>normal</t>
        </is>
      </c>
      <c r="AD17" t="n">
        <v>356</v>
      </c>
      <c r="AE17" t="n">
        <v>1</v>
      </c>
      <c r="AF17" t="n">
        <v>8</v>
      </c>
      <c r="AG17" t="inlineStr">
        <is>
          <t>hero</t>
        </is>
      </c>
      <c r="AH17" t="inlineStr">
        <is>
          <t>hhou</t>
        </is>
      </c>
      <c r="AI17" t="inlineStr">
        <is>
          <t>ACbh,A028,A004</t>
        </is>
      </c>
      <c r="AJ17" t="inlineStr">
        <is>
          <t>Build Captain Bartlebee ( X )</t>
        </is>
      </c>
      <c r="AP17" t="inlineStr">
        <is>
          <t>Its Versatile Critical Strike is tier I, confirmed 2026-09-05 as identical to Delphinus's (35% x2.5). BUY IT FOR PERMANENT STUN, NOT DAMAGE. Bash II on a very-rapid chassis procs every ~1.75s against a 2s stun, so it holds ~100% STUN UPTIME on ground non-hero units. The treant Battleship Mackinaw carries the SAME Bash II on medium fire and gets only ~40% - the same library entry worth ~2.5x more here, purely from fire rate. Damage reads a poor 2.89 range-adjusted because its 350 range is the WORST recorded in any kit (coverage 0.48). VERSATILE CRITICAL STRIKE is the first crit recorded that hits ALL units, so its 35% x2.5 applies on every wave rather than on a schedule.</t>
        </is>
      </c>
      <c r="AQ17" t="n">
        <v>721</v>
      </c>
      <c r="AR17" t="n">
        <v>1.52</v>
      </c>
      <c r="AS17">
        <f>AQ17*AR17</f>
        <v/>
      </c>
      <c r="AT17">
        <f>IF(D17=0,"",AY17/D17)</f>
        <v/>
      </c>
      <c r="AU17">
        <f>(N17/725)^2</f>
        <v/>
      </c>
      <c r="AV17">
        <f>IF(D17=0,"",AT17*AU17)</f>
        <v/>
      </c>
      <c r="AW17" t="n">
        <v>94</v>
      </c>
      <c r="AY17">
        <f>AS17+N(AW17)+N(AX17)</f>
        <v/>
      </c>
      <c r="AZ17">
        <f>IF(D17=0,"",AT17*(N17/725))</f>
        <v/>
      </c>
      <c r="BA17" t="inlineStr">
        <is>
          <t>basic attack</t>
        </is>
      </c>
    </row>
    <row r="18">
      <c r="A18" t="inlineStr">
        <is>
          <t>Delphinus</t>
        </is>
      </c>
      <c r="B18" t="inlineStr">
        <is>
          <t>h02C</t>
        </is>
      </c>
      <c r="C18" t="n">
        <v>2</v>
      </c>
      <c r="D18" t="n">
        <v>325</v>
      </c>
      <c r="E18" t="n">
        <v>0</v>
      </c>
      <c r="F18" t="inlineStr">
        <is>
          <t>Captain Bartlebee</t>
        </is>
      </c>
      <c r="H18" t="inlineStr">
        <is>
          <t>Moon Stone Cannon (ACsh); Rail Driver (A00O); Vacuum Torpedo (A00P); Versatile Critical Strike I (A004)</t>
        </is>
      </c>
      <c r="I18" t="inlineStr">
        <is>
          <t>air,enemies,ground,nonancient</t>
        </is>
      </c>
      <c r="J18" t="n">
        <v>665</v>
      </c>
      <c r="K18" t="n">
        <v>669</v>
      </c>
      <c r="L18" t="n">
        <v>667</v>
      </c>
      <c r="M18" t="n">
        <v>0.25</v>
      </c>
      <c r="N18" t="n">
        <v>700</v>
      </c>
      <c r="O18" t="inlineStr">
        <is>
          <t>hero</t>
        </is>
      </c>
      <c r="P18" t="n">
        <v>2668</v>
      </c>
      <c r="Z18" t="n">
        <v>4</v>
      </c>
      <c r="AA18" t="n">
        <v>2500</v>
      </c>
      <c r="AB18" t="n">
        <v>0</v>
      </c>
      <c r="AC18" t="inlineStr">
        <is>
          <t>missile</t>
        </is>
      </c>
      <c r="AD18" t="n">
        <v>664</v>
      </c>
      <c r="AE18" t="n">
        <v>1</v>
      </c>
      <c r="AF18" t="n">
        <v>5</v>
      </c>
      <c r="AG18" t="inlineStr">
        <is>
          <t>hero</t>
        </is>
      </c>
      <c r="AH18" t="inlineStr">
        <is>
          <t>hhou</t>
        </is>
      </c>
      <c r="AI18" t="inlineStr">
        <is>
          <t>A028,ACsh,A00O,A00P,A004</t>
        </is>
      </c>
      <c r="AJ18" t="inlineStr">
        <is>
          <t>U pgrade to Delphinus</t>
        </is>
      </c>
      <c r="AP18" t="inlineStr">
        <is>
          <t>CORRECTED 2026-09-05: it KEEPS Versatile Critical Strike (tier I) and has THREE spells, not four. An earlier note here said it had no crit and a full trait wipe - wrong on both. It drops only BASH II. Since Versatile hits ALL units, its 8.63 applies on every wave. CONFIRMED 2026-09-05: Bartlebee and Delphinus carry the SAME Versatile Critical Strike I (35% x2.5), so the upgrade keeps the trait flat and adds mana and spells on top. RAIL DRIVER IS AN EXECUTE, and executes scale with the HP ramp instead of falling behind it: worth 335 damage at wave 5 and 6300 at wave 20, so it goes from a quarter of Moon Tone Cannon's value to FIVE TIMES it with no scaling text anywhere. ANSWERS THE TIER-1 QUESTION: it does NOT keep Bash II, so the K-Dig line stops being the stun answer - though Vacuum Torpedo's 8s AoE slow keeps it a CONTROL tower, changing the mechanism rather than the job. FIRST MANA TOWER outside the Archimonde hero, so mana is a per-tower property rather than a whole-hero identity.</t>
        </is>
      </c>
      <c r="AQ18" t="n">
        <v>2668</v>
      </c>
      <c r="AR18" t="n">
        <v>1.52</v>
      </c>
      <c r="AS18">
        <f>AQ18*AR18</f>
        <v/>
      </c>
      <c r="AT18">
        <f>IF(D18=0,"",AY18/D18)</f>
        <v/>
      </c>
      <c r="AU18">
        <f>(N18/725)^2</f>
        <v/>
      </c>
      <c r="AV18">
        <f>IF(D18=0,"",AT18*AU18)</f>
        <v/>
      </c>
      <c r="AY18">
        <f>AS18+N(AW18)+N(AX18)</f>
        <v/>
      </c>
      <c r="AZ18">
        <f>IF(D18=0,"",AT18*(N18/725))</f>
        <v/>
      </c>
      <c r="BA18" t="inlineStr">
        <is>
          <t>basic attack</t>
        </is>
      </c>
    </row>
    <row r="19">
      <c r="A19" t="inlineStr">
        <is>
          <t>Cloud Buster</t>
        </is>
      </c>
      <c r="B19" t="inlineStr">
        <is>
          <t>h02A</t>
        </is>
      </c>
      <c r="C19" t="n">
        <v>1</v>
      </c>
      <c r="D19" t="n">
        <v>440</v>
      </c>
      <c r="E19" t="n">
        <v>0</v>
      </c>
      <c r="G19" t="inlineStr">
        <is>
          <t>Shrine of Isis</t>
        </is>
      </c>
      <c r="H19" t="inlineStr">
        <is>
          <t>Vindicator I (A02Y); Air Critical Strike II (A006)</t>
        </is>
      </c>
      <c r="I19" t="inlineStr">
        <is>
          <t>air,enemies,ground,nonancient</t>
        </is>
      </c>
      <c r="J19" t="n">
        <v>681</v>
      </c>
      <c r="K19" t="n">
        <v>685</v>
      </c>
      <c r="L19" t="n">
        <v>683</v>
      </c>
      <c r="M19" t="n">
        <v>0.4</v>
      </c>
      <c r="N19" t="n">
        <v>1200</v>
      </c>
      <c r="O19" t="inlineStr">
        <is>
          <t>magic</t>
        </is>
      </c>
      <c r="P19" t="n">
        <v>1707.5</v>
      </c>
      <c r="AA19" t="n">
        <v>1750</v>
      </c>
      <c r="AB19" t="n">
        <v>0</v>
      </c>
      <c r="AC19" t="inlineStr">
        <is>
          <t>missile</t>
        </is>
      </c>
      <c r="AD19" t="n">
        <v>680</v>
      </c>
      <c r="AE19" t="n">
        <v>1</v>
      </c>
      <c r="AF19" t="n">
        <v>5</v>
      </c>
      <c r="AG19" t="inlineStr">
        <is>
          <t>magic</t>
        </is>
      </c>
      <c r="AH19" t="inlineStr">
        <is>
          <t>hhou</t>
        </is>
      </c>
      <c r="AI19" t="inlineStr">
        <is>
          <t>A02Y,A028,A006</t>
        </is>
      </c>
      <c r="AJ19" t="inlineStr">
        <is>
          <t>Build Cloud Buster ( D )</t>
        </is>
      </c>
      <c r="AP19" t="inlineStr">
        <is>
          <t>LONGEST RANGE RECORDED IN ANY KIT at 1200 (coverage 1.66 vs the 725 baseline), and that range is most of why it scores 18.35 vs air - third overall behind Odin's Soul 34.19 and Absolute Zero 26.60, and by far the Royal Family's best air answer (Martyr is 10.79). TIER IS NOT A POWER LADDER: 440g and deeper than Martyr, yet carries Vindicator I where the 260g Martyr carries Vindicator III - a new tower unlocked by Martyr, not its upgrade. Vindicator I's multiplier is still unread, so the vs-attacking figure is uncomputed.</t>
        </is>
      </c>
      <c r="AQ19" t="n">
        <v>1707.5</v>
      </c>
      <c r="AR19" t="n">
        <v>2.5</v>
      </c>
      <c r="AS19">
        <f>AQ19*AR19</f>
        <v/>
      </c>
      <c r="AT19">
        <f>IF(D19=0,"",AY19/D19)</f>
        <v/>
      </c>
      <c r="AU19">
        <f>(N19/725)^2</f>
        <v/>
      </c>
      <c r="AV19">
        <f>IF(D19=0,"",AT19*AU19)</f>
        <v/>
      </c>
      <c r="AY19">
        <f>AS19+N(AW19)+N(AX19)</f>
        <v/>
      </c>
      <c r="AZ19">
        <f>IF(D19=0,"",AT19*(N19/725))</f>
        <v/>
      </c>
      <c r="BA19" t="inlineStr">
        <is>
          <t>basic attack</t>
        </is>
      </c>
    </row>
    <row r="20">
      <c r="A20" t="inlineStr">
        <is>
          <t>Shrine of Isis</t>
        </is>
      </c>
      <c r="B20" t="inlineStr">
        <is>
          <t>h02B</t>
        </is>
      </c>
      <c r="C20" t="n">
        <v>2</v>
      </c>
      <c r="D20" t="n">
        <v>560</v>
      </c>
      <c r="E20" t="n">
        <v>0</v>
      </c>
      <c r="F20" t="inlineStr">
        <is>
          <t>Cloud Buster</t>
        </is>
      </c>
      <c r="H20" t="inlineStr">
        <is>
          <t>Aviary Degeneration (A024); Air Critical Strike III (A00U)</t>
        </is>
      </c>
      <c r="I20" t="inlineStr">
        <is>
          <t>air,enemies,ground,nonancient</t>
        </is>
      </c>
      <c r="J20" t="n">
        <v>870</v>
      </c>
      <c r="K20" t="n">
        <v>882</v>
      </c>
      <c r="L20" t="n">
        <v>876</v>
      </c>
      <c r="M20" t="n">
        <v>0.7</v>
      </c>
      <c r="N20" t="n">
        <v>750</v>
      </c>
      <c r="O20" t="inlineStr">
        <is>
          <t>magic</t>
        </is>
      </c>
      <c r="P20" t="n">
        <v>1251.4</v>
      </c>
      <c r="Z20" t="n">
        <v>6</v>
      </c>
      <c r="AA20" t="n">
        <v>2500</v>
      </c>
      <c r="AB20" t="n">
        <v>0</v>
      </c>
      <c r="AC20" t="inlineStr">
        <is>
          <t>missile</t>
        </is>
      </c>
      <c r="AD20" t="n">
        <v>869</v>
      </c>
      <c r="AE20" t="n">
        <v>1</v>
      </c>
      <c r="AF20" t="n">
        <v>13</v>
      </c>
      <c r="AG20" t="inlineStr">
        <is>
          <t>magic</t>
        </is>
      </c>
      <c r="AH20" t="inlineStr">
        <is>
          <t>hhou</t>
        </is>
      </c>
      <c r="AI20" t="inlineStr">
        <is>
          <t>A028,A024,A00U</t>
        </is>
      </c>
      <c r="AJ20" t="inlineStr">
        <is>
          <t>U pgrade to Shrine of Isis</t>
        </is>
      </c>
      <c r="AP20" t="inlineStr">
        <is>
          <t>AVIARY DEGENERATION RESOLVED: a 20% AURA SLOW on nearby AIR units - a debuff applied to enemies, not a self-penalty. FIRST TOWER AURA recorded; the only other aura seen anywhere is the wave-15 boss armour aura. AIR CRITICAL STRIKE III completes that curve at 50% x7 (I x1.5 -&gt; II x4 -&gt; III x7). ⚠️ CAVEAT: air waves carry LIGERA/LIGHT armour and the Light matrix row is NOT captured. This tower is MAGIC, so if magic is weak into Light the 18.39 overstates it on precisely the waves it exists for. Cloud Buster's upgrade; gates Lilliana May.</t>
        </is>
      </c>
      <c r="AQ20" t="n">
        <v>1251.4</v>
      </c>
      <c r="AR20" t="n">
        <v>4</v>
      </c>
      <c r="AS20">
        <f>AQ20*AR20</f>
        <v/>
      </c>
      <c r="AT20">
        <f>IF(D20=0,"",AY20/D20)</f>
        <v/>
      </c>
      <c r="AU20">
        <f>(N20/725)^2</f>
        <v/>
      </c>
      <c r="AV20">
        <f>IF(D20=0,"",AT20*AU20)</f>
        <v/>
      </c>
      <c r="AY20">
        <f>AS20+N(AW20)+N(AX20)</f>
        <v/>
      </c>
      <c r="AZ20">
        <f>IF(D20=0,"",AT20*(N20/725))</f>
        <v/>
      </c>
      <c r="BA20" t="inlineStr">
        <is>
          <t>basic attack</t>
        </is>
      </c>
    </row>
    <row r="21">
      <c r="A21" t="inlineStr">
        <is>
          <t>Lilianna Mai</t>
        </is>
      </c>
      <c r="B21" t="inlineStr">
        <is>
          <t>h029</t>
        </is>
      </c>
      <c r="C21" t="n">
        <v>1</v>
      </c>
      <c r="D21" t="n">
        <v>850</v>
      </c>
      <c r="E21" t="n">
        <v>1</v>
      </c>
      <c r="G21" t="inlineStr">
        <is>
          <t>Astral Skibi</t>
        </is>
      </c>
      <c r="H21" t="inlineStr">
        <is>
          <t>Divine Shield (AHds); Gravity Well (A00V)</t>
        </is>
      </c>
      <c r="I21" t="inlineStr">
        <is>
          <t>air,enemies,ground,nonancient</t>
        </is>
      </c>
      <c r="J21" t="n">
        <v>1000</v>
      </c>
      <c r="K21" t="n">
        <v>1455</v>
      </c>
      <c r="L21" t="n">
        <v>1227.5</v>
      </c>
      <c r="M21" t="n">
        <v>0.25</v>
      </c>
      <c r="N21" t="n">
        <v>900</v>
      </c>
      <c r="O21" t="inlineStr">
        <is>
          <t>hero</t>
        </is>
      </c>
      <c r="P21" t="n">
        <v>4910</v>
      </c>
      <c r="Z21" t="n">
        <v>8</v>
      </c>
      <c r="AA21" t="n">
        <v>3000</v>
      </c>
      <c r="AB21" t="n">
        <v>0</v>
      </c>
      <c r="AC21" t="inlineStr">
        <is>
          <t>missile</t>
        </is>
      </c>
      <c r="AD21" t="n">
        <v>995</v>
      </c>
      <c r="AE21" t="n">
        <v>5</v>
      </c>
      <c r="AF21" t="n">
        <v>92</v>
      </c>
      <c r="AG21" t="inlineStr">
        <is>
          <t>hero</t>
        </is>
      </c>
      <c r="AH21" t="inlineStr">
        <is>
          <t>hhou</t>
        </is>
      </c>
      <c r="AI21" t="inlineStr">
        <is>
          <t>AHds,A028,A00V</t>
        </is>
      </c>
      <c r="AJ21" t="inlineStr">
        <is>
          <t>Build Lilianna Mai ( F )</t>
        </is>
      </c>
      <c r="AQ21" t="n">
        <v>4910</v>
      </c>
      <c r="AR21" t="n">
        <v>1</v>
      </c>
      <c r="AS21">
        <f>AQ21*AR21</f>
        <v/>
      </c>
      <c r="AT21">
        <f>IF(D21=0,"",AY21/D21)</f>
        <v/>
      </c>
      <c r="AU21">
        <f>(N21/725)^2</f>
        <v/>
      </c>
      <c r="AV21">
        <f>IF(D21=0,"",AT21*AU21)</f>
        <v/>
      </c>
      <c r="AY21">
        <f>AS21+N(AW21)+N(AX21)</f>
        <v/>
      </c>
      <c r="AZ21">
        <f>IF(D21=0,"",AT21*(N21/725))</f>
        <v/>
      </c>
      <c r="BA21" t="inlineStr">
        <is>
          <t>basic attack</t>
        </is>
      </c>
    </row>
    <row r="22">
      <c r="A22" t="inlineStr">
        <is>
          <t>Astral Skibi</t>
        </is>
      </c>
      <c r="B22" t="inlineStr">
        <is>
          <t>h024</t>
        </is>
      </c>
      <c r="C22" t="n">
        <v>2</v>
      </c>
      <c r="D22" t="n">
        <v>1075</v>
      </c>
      <c r="E22" t="n">
        <v>1</v>
      </c>
      <c r="F22" t="inlineStr">
        <is>
          <t>Lilianna Mai</t>
        </is>
      </c>
      <c r="H22" t="inlineStr">
        <is>
          <t>Divine Shield (AHds); Gravity Well (A00V); Absolution (A00S); Boss Assassin II (A00R)</t>
        </is>
      </c>
      <c r="I22" t="inlineStr">
        <is>
          <t>enemies,ground,nonancient</t>
        </is>
      </c>
      <c r="J22" t="n">
        <v>5000</v>
      </c>
      <c r="K22" t="n">
        <v>5000</v>
      </c>
      <c r="L22" t="n">
        <v>5000</v>
      </c>
      <c r="M22" t="n">
        <v>1.5</v>
      </c>
      <c r="N22" t="n">
        <v>600</v>
      </c>
      <c r="O22" t="inlineStr">
        <is>
          <t>hero</t>
        </is>
      </c>
      <c r="P22" t="n">
        <v>3333.3</v>
      </c>
      <c r="Q22" t="n">
        <v>5000</v>
      </c>
      <c r="R22" t="n">
        <v>5000</v>
      </c>
      <c r="S22" t="n">
        <v>5000</v>
      </c>
      <c r="T22" t="n">
        <v>1.5</v>
      </c>
      <c r="U22" t="n">
        <v>800</v>
      </c>
      <c r="V22" t="inlineStr">
        <is>
          <t>magic</t>
        </is>
      </c>
      <c r="W22" t="n">
        <v>3333.3</v>
      </c>
      <c r="Z22" t="n">
        <v>10</v>
      </c>
      <c r="AA22" t="n">
        <v>3500</v>
      </c>
      <c r="AB22" t="n">
        <v>0</v>
      </c>
      <c r="AC22" t="inlineStr">
        <is>
          <t>missile</t>
        </is>
      </c>
      <c r="AD22" t="n">
        <v>4999</v>
      </c>
      <c r="AE22" t="n">
        <v>1</v>
      </c>
      <c r="AF22" t="n">
        <v>1</v>
      </c>
      <c r="AG22" t="inlineStr">
        <is>
          <t>hero</t>
        </is>
      </c>
      <c r="AH22" t="inlineStr">
        <is>
          <t>hhou</t>
        </is>
      </c>
      <c r="AI22" t="inlineStr">
        <is>
          <t>AHds,A00V,A028,A00S,A00R</t>
        </is>
      </c>
      <c r="AJ22" t="inlineStr">
        <is>
          <t>U pgrade to Astral Skibi</t>
        </is>
      </c>
      <c r="AK22" t="n">
        <v>4999</v>
      </c>
      <c r="AL22" t="n">
        <v>1</v>
      </c>
      <c r="AM22" t="n">
        <v>1</v>
      </c>
      <c r="AP22" t="inlineStr">
        <is>
          <t>THE CAPSTONE, AND IT HAS NO WEAKNESS. Two crits covering complementary target classes: ABSOLUTION at 50% x25 vs NON-BOSS (the largest multiplier recorded anywhere - previous max was Vindicator III x10) and BOSS ASSASSIN II at 50% x8 vs heroes. So it shreds hordes AND handles bosses. It also carries DUAL ATTACK TYPES like Sky Sweeper, hedging the armour matrix, but with DIFFERENT RANGES per profile (600 hero / 800 magic) - the only tower recorded where the two profiles differ in range. Plus both of Lilliana May's spells. 198.29 range-adjusted vs non-boss against a previous best of 42.74 anywhere in the capture. FOOD: the upgrade itself adds no food cost, but the BASE tower's slot stays consumed (owner 2026-09-05) - so this still occupies 1 of the 5. An earlier note here said the upgrade frees a slot; that was wrong. That is what ~6389g across all three lines plus a permanent food slot buys.</t>
        </is>
      </c>
      <c r="AQ22" t="n">
        <v>3333.3</v>
      </c>
      <c r="AR22" t="n">
        <v>1</v>
      </c>
      <c r="AS22">
        <f>AQ22*AR22</f>
        <v/>
      </c>
      <c r="AT22">
        <f>IF(D22=0,"",AY22/D22)</f>
        <v/>
      </c>
      <c r="AU22">
        <f>(N22/725)^2</f>
        <v/>
      </c>
      <c r="AV22">
        <f>IF(D22=0,"",AT22*AU22)</f>
        <v/>
      </c>
      <c r="AY22">
        <f>AS22+N(AW22)+N(AX22)</f>
        <v/>
      </c>
      <c r="AZ22">
        <f>IF(D22=0,"",AT22*(N22/725))</f>
        <v/>
      </c>
      <c r="BA22" t="inlineStr">
        <is>
          <t>basic attack</t>
        </is>
      </c>
    </row>
    <row r="23">
      <c r="A23" t="inlineStr">
        <is>
          <t>Tyr Spirit</t>
        </is>
      </c>
      <c r="AN23" t="inlineStr">
        <is>
          <t>hand capture only — no extracted counterpart</t>
        </is>
      </c>
      <c r="AO23" t="inlineStr">
        <is>
          <t>D3</t>
        </is>
      </c>
      <c r="AP23" t="inlineStr">
        <is>
          <t>Unlock confirmed by the owner 2026-09-05. BOUGHT FOR THE STUN, NOT THE DAMAGE. At very rapid fire a 20% proc lands every ~1.75s and the stun lasts 1.5s, so it holds ~86% STUN UPTIME on non-hero ground units - near-permanent lockdown. Damage is a modest 3.63 range-adjusted. BASH is a named tier trait: the treant Battleship Mackinaw carries a higher one (20%, +235, 2.0s, non-boss) - same 20% chance and same shape, and its "non-boss" is the same exclusion as this one's "non-hero".</t>
        </is>
      </c>
      <c r="AR23" t="n">
        <v>1</v>
      </c>
      <c r="AS23">
        <f>AQ23*AR23</f>
        <v/>
      </c>
      <c r="AT23">
        <f>IF(D23=0,"",AY23/D23)</f>
        <v/>
      </c>
      <c r="AU23">
        <f>(N23/725)^2</f>
        <v/>
      </c>
      <c r="AV23">
        <f>IF(D23=0,"",AT23*AU23)</f>
        <v/>
      </c>
      <c r="AY23">
        <f>AS23+N(AW23)+N(AX23)</f>
        <v/>
      </c>
      <c r="AZ23">
        <f>IF(D23=0,"",AT23*(N23/725))</f>
        <v/>
      </c>
      <c r="BA23" t="inlineStr">
        <is>
          <t>no damage figure — support/on-death, or a bonus that needs a basic attack it lacks</t>
        </is>
      </c>
    </row>
    <row r="24">
      <c r="A24" t="inlineStr">
        <is>
          <t>Royal Base II</t>
        </is>
      </c>
      <c r="AN24" t="inlineStr">
        <is>
          <t>hand capture only — no extracted counterpart</t>
        </is>
      </c>
      <c r="AP24" t="inlineStr">
        <is>
          <t>NOT A TOWER and not a "base tower" either - it is an upgrade purchased at the HERO SELECTION BUILDING (owner 2026-09-05). At 50g it is a pure tech gate for Peepy Bronzebeard, Cloud Buster, Lilliana May and Petrified Shell. It has no stat block to collect. The mechanism is per-hero: the Tempest Hawk has no equivalent.</t>
        </is>
      </c>
      <c r="AR24" t="n">
        <v>1</v>
      </c>
      <c r="AS24">
        <f>AQ24*AR24</f>
        <v/>
      </c>
      <c r="AT24">
        <f>IF(D24=0,"",AY24/D24)</f>
        <v/>
      </c>
      <c r="AU24">
        <f>(N24/725)^2</f>
        <v/>
      </c>
      <c r="AV24">
        <f>IF(D24=0,"",AT24*AU24)</f>
        <v/>
      </c>
      <c r="AY24">
        <f>AS24+N(AW24)+N(AX24)</f>
        <v/>
      </c>
      <c r="AZ24">
        <f>IF(D24=0,"",AT24*(N24/725))</f>
        <v/>
      </c>
      <c r="BA24" t="inlineStr">
        <is>
          <t>no damage figure — support/on-death, or a bonus that needs a basic attack it lacks</t>
        </is>
      </c>
    </row>
    <row r="25">
      <c r="A25" t="inlineStr">
        <is>
          <t>Peepy Bronzebeard</t>
        </is>
      </c>
      <c r="AN25" t="inlineStr">
        <is>
          <t>hand capture only — no extracted counterpart</t>
        </is>
      </c>
      <c r="AP25" t="inlineStr">
        <is>
          <t>NO CRIT - untyped damage, so its 8.33 applies on EVERY wave rather than on a schedule, unlike most elite towers here. SLOW POISON III is the headline: 260 dps and 65% slow. The 260 dps alone out-damages several whole towers (treant Machination 54 dps, hawk Lasher 74 dps), so at tier III a debuff is worth more than a cheap tower. Completes the Slow Poison curve: 4 -&gt; 36 -&gt; 260 dps, 25% -&gt; 40% -&gt; 65% slow.</t>
        </is>
      </c>
      <c r="AR25" t="n">
        <v>1</v>
      </c>
      <c r="AS25">
        <f>AQ25*AR25</f>
        <v/>
      </c>
      <c r="AT25">
        <f>IF(D25=0,"",AY25/D25)</f>
        <v/>
      </c>
      <c r="AU25">
        <f>(N25/725)^2</f>
        <v/>
      </c>
      <c r="AV25">
        <f>IF(D25=0,"",AT25*AU25)</f>
        <v/>
      </c>
      <c r="AY25">
        <f>AS25+N(AW25)+N(AX25)</f>
        <v/>
      </c>
      <c r="AZ25">
        <f>IF(D25=0,"",AT25*(N25/725))</f>
        <v/>
      </c>
      <c r="BA25" t="inlineStr">
        <is>
          <t>no damage figure — support/on-death, or a bonus that needs a basic attack it lacks</t>
        </is>
      </c>
    </row>
    <row r="26">
      <c r="A26" t="inlineStr">
        <is>
          <t>Grayson Fort Buster</t>
        </is>
      </c>
      <c r="AN26" t="inlineStr">
        <is>
          <t>hand capture only — no extracted counterpart</t>
        </is>
      </c>
      <c r="AP26" t="inlineStr">
        <is>
          <t>COSTS 1 FOOD - a THIRD resource beyond gold and tiles, capped at 5 and unlocked partway through the run. So gold is not its real cost: at 175g it is the best gold-efficiency in the kit after Odin's Soul, but you can field at most FIVE food towers all run, and it competes against every other food tower rather than against 175g of anything else. SIEGE, so 13.82 becomes 22.11 on the Fortified waves (3, 8, 13, 18). Wave-20 gated.</t>
        </is>
      </c>
      <c r="AR26" t="n">
        <v>1</v>
      </c>
      <c r="AS26">
        <f>AQ26*AR26</f>
        <v/>
      </c>
      <c r="AT26">
        <f>IF(D26=0,"",AY26/D26)</f>
        <v/>
      </c>
      <c r="AU26">
        <f>(N26/725)^2</f>
        <v/>
      </c>
      <c r="AV26">
        <f>IF(D26=0,"",AT26*AU26)</f>
        <v/>
      </c>
      <c r="AY26">
        <f>AS26+N(AW26)+N(AX26)</f>
        <v/>
      </c>
      <c r="AZ26">
        <f>IF(D26=0,"",AT26*(N26/725))</f>
        <v/>
      </c>
      <c r="BA26" t="inlineStr">
        <is>
          <t>no damage figure — support/on-death, or a bonus that needs a basic attack it lacks</t>
        </is>
      </c>
    </row>
    <row r="27">
      <c r="A27" t="inlineStr">
        <is>
          <t>Lilliana May</t>
        </is>
      </c>
      <c r="AN27" t="inlineStr">
        <is>
          <t>hand capture only — no extracted counterpart</t>
        </is>
      </c>
      <c r="AP27" t="inlineStr">
        <is>
          <t>CORRECTED 2026-09-05: damage is 1000-1455 (a normal 1.46x roll), not 100-1455. An earlier note here called it the widest spread recorded and read it as a deliberately unreliable autoattack - that was built on the typo and is WITHDRAWN. At 5.12 range-adjusted it is still modest for 850g plus a food slot, so it is still bought for its spells, but by the ordinary reading rather than a variance argument. GRAVITY WELL CORRECTED: 10% of LIFE as damage plus a 5% PERMANENT speed reduction - double the damage I first recorded, and a smaller but PERMANENT slow. "Permanent" implies it may STACK across casts, which would make it a different mechanic class from every other slow here. Worth confirming whether it stacks. DIVINE SHIELD makes the TOWER immune for 10s, the answer to the tower-destroying boss the owner flagged in their first message. Priciest Royal Family tower AND food-capped.</t>
        </is>
      </c>
      <c r="AR27" t="n">
        <v>1</v>
      </c>
      <c r="AS27">
        <f>AQ27*AR27</f>
        <v/>
      </c>
      <c r="AT27">
        <f>IF(D27=0,"",AY27/D27)</f>
        <v/>
      </c>
      <c r="AU27">
        <f>(N27/725)^2</f>
        <v/>
      </c>
      <c r="AV27">
        <f>IF(D27=0,"",AT27*AU27)</f>
        <v/>
      </c>
      <c r="AY27">
        <f>AS27+N(AW27)+N(AX27)</f>
        <v/>
      </c>
      <c r="AZ27">
        <f>IF(D27=0,"",AT27*(N27/725))</f>
        <v/>
      </c>
      <c r="BA27" t="inlineStr">
        <is>
          <t>no damage figure — support/on-death, or a bonus that needs a basic attack it lacks</t>
        </is>
      </c>
    </row>
    <row r="28">
      <c r="A28" t="inlineStr">
        <is>
          <t>Petrified Shell</t>
        </is>
      </c>
      <c r="AN28" t="inlineStr">
        <is>
          <t>hand capture only — no extracted counterpart</t>
        </is>
      </c>
      <c r="AP28" t="inlineStr">
        <is>
          <t>THE K-DIG LINE ENDS IN A TANK. 3.22 range-adjusted is low, but FORTITUDE is durability + splash and eff/g cannot see survivability - the same caveat as the treant Ruby Scorpion, and a tower that dies is worth 0. Note the line's arc: K-Dig (siege utility/heal) -&gt; Xavier (siege damage) -&gt; Bartlebee (stun) -&gt; Delphinus (mana + spells) -&gt; this (tank). FIVE different jobs down one line. TWO NEW TRAITS: FROST I (the treant Sewage Surprise carries an unlabelled "frost", so that is probably the same family) and FORTITUDE. FAST = RAPID confirmed by the owner 2026-09-05, so the five bands stand.</t>
        </is>
      </c>
      <c r="AR28" t="n">
        <v>1</v>
      </c>
      <c r="AS28">
        <f>AQ28*AR28</f>
        <v/>
      </c>
      <c r="AT28">
        <f>IF(D28=0,"",AY28/D28)</f>
        <v/>
      </c>
      <c r="AU28">
        <f>(N28/725)^2</f>
        <v/>
      </c>
      <c r="AV28">
        <f>IF(D28=0,"",AT28*AU28)</f>
        <v/>
      </c>
      <c r="AY28">
        <f>AS28+N(AW28)+N(AX28)</f>
        <v/>
      </c>
      <c r="AZ28">
        <f>IF(D28=0,"",AT28*(N28/725))</f>
        <v/>
      </c>
      <c r="BA28" t="inlineStr">
        <is>
          <t>no damage figure — support/on-death, or a bonus that needs a basic attack it lacks</t>
        </is>
      </c>
    </row>
  </sheetData>
  <autoFilter ref="A1:BA2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21"/>
  <sheetViews>
    <sheetView workbookViewId="0">
      <pane ySplit="1" topLeftCell="A2" activePane="bottomLeft" state="frozen"/>
      <selection pane="bottomLeft" activeCell="A1" sqref="A1"/>
    </sheetView>
  </sheetViews>
  <sheetFormatPr baseColWidth="8" defaultRowHeight="15"/>
  <cols>
    <col width="21" customWidth="1" min="1" max="1"/>
    <col width="9" customWidth="1" min="2" max="2"/>
    <col width="9" customWidth="1" min="3" max="3"/>
    <col width="11" customWidth="1" min="4" max="4"/>
    <col width="9" customWidth="1" min="5" max="5"/>
    <col width="20" customWidth="1" min="6" max="6"/>
    <col width="21" customWidth="1" min="7" max="7"/>
    <col width="48" customWidth="1" min="8" max="8"/>
    <col width="31" customWidth="1" min="9" max="9"/>
    <col width="10" customWidth="1" min="10" max="10"/>
    <col width="10" customWidth="1" min="11" max="11"/>
    <col width="11" customWidth="1" min="12" max="12"/>
    <col width="15" customWidth="1" min="13" max="13"/>
    <col width="12" customWidth="1" min="14" max="14"/>
    <col width="11" customWidth="1" min="15" max="15"/>
    <col width="10" customWidth="1" min="16" max="16"/>
    <col width="10" customWidth="1" min="17" max="17"/>
    <col width="10" customWidth="1" min="18" max="18"/>
    <col width="11" customWidth="1" min="19" max="19"/>
    <col width="15" customWidth="1" min="20" max="20"/>
    <col width="12" customWidth="1" min="21" max="21"/>
    <col width="11" customWidth="1" min="22" max="22"/>
    <col width="10" customWidth="1" min="23" max="23"/>
    <col width="31" customWidth="1" min="24" max="24"/>
    <col width="13" customWidth="1" min="25" max="25"/>
    <col width="14" customWidth="1" min="26" max="26"/>
    <col width="9" customWidth="1" min="27" max="27"/>
    <col width="13" customWidth="1" min="28" max="28"/>
    <col width="13" customWidth="1" min="29" max="29"/>
    <col width="11" customWidth="1" min="30" max="30"/>
    <col width="11" customWidth="1" min="31" max="31"/>
    <col width="12" customWidth="1" min="32" max="32"/>
    <col width="20" customWidth="1" min="33" max="33"/>
    <col width="11" customWidth="1" min="34" max="34"/>
    <col width="26" customWidth="1" min="35" max="35"/>
    <col width="33" customWidth="1" min="36" max="36"/>
    <col width="9" customWidth="1" min="37" max="37"/>
    <col width="17" customWidth="1" min="38" max="38"/>
    <col width="15" customWidth="1" min="39" max="39"/>
    <col width="14" customWidth="1" min="40" max="40"/>
    <col width="17" customWidth="1" min="41" max="41"/>
    <col width="27" customWidth="1" min="42" max="42"/>
    <col width="12" customWidth="1" min="43" max="43"/>
    <col width="9" customWidth="1" min="44" max="44"/>
    <col width="15" customWidth="1" min="45" max="45"/>
    <col width="22" customWidth="1" min="46" max="46"/>
    <col width="48" customWidth="1" min="47" max="47"/>
  </cols>
  <sheetData>
    <row r="1">
      <c r="A1" s="1" t="inlineStr">
        <is>
          <t>name</t>
        </is>
      </c>
      <c r="B1" s="1" t="inlineStr">
        <is>
          <t>unit_id</t>
        </is>
      </c>
      <c r="C1" s="1" t="inlineStr">
        <is>
          <t>tier</t>
        </is>
      </c>
      <c r="D1" s="1" t="inlineStr">
        <is>
          <t>cost_gold</t>
        </is>
      </c>
      <c r="E1" s="1" t="inlineStr">
        <is>
          <t>food</t>
        </is>
      </c>
      <c r="F1" s="1" t="inlineStr">
        <is>
          <t>upgrades_from</t>
        </is>
      </c>
      <c r="G1" s="1" t="inlineStr">
        <is>
          <t>upgrades_to</t>
        </is>
      </c>
      <c r="H1" s="1" t="inlineStr">
        <is>
          <t>traits</t>
        </is>
      </c>
      <c r="I1" s="1" t="inlineStr">
        <is>
          <t>targets</t>
        </is>
      </c>
      <c r="J1" s="1" t="inlineStr">
        <is>
          <t>atk1_min</t>
        </is>
      </c>
      <c r="K1" s="1" t="inlineStr">
        <is>
          <t>atk1_max</t>
        </is>
      </c>
      <c r="L1" s="1" t="inlineStr">
        <is>
          <t>atk1_mean</t>
        </is>
      </c>
      <c r="M1" s="1" t="inlineStr">
        <is>
          <t>atk1_cooldown</t>
        </is>
      </c>
      <c r="N1" s="1" t="inlineStr">
        <is>
          <t>atk1_range</t>
        </is>
      </c>
      <c r="O1" s="1" t="inlineStr">
        <is>
          <t>atk1_type</t>
        </is>
      </c>
      <c r="P1" s="1" t="inlineStr">
        <is>
          <t>atk1_dps</t>
        </is>
      </c>
      <c r="Q1" s="1" t="inlineStr">
        <is>
          <t>atk2_min</t>
        </is>
      </c>
      <c r="R1" s="1" t="inlineStr">
        <is>
          <t>atk2_max</t>
        </is>
      </c>
      <c r="S1" s="1" t="inlineStr">
        <is>
          <t>atk2_mean</t>
        </is>
      </c>
      <c r="T1" s="1" t="inlineStr">
        <is>
          <t>atk2_cooldown</t>
        </is>
      </c>
      <c r="U1" s="1" t="inlineStr">
        <is>
          <t>atk2_range</t>
        </is>
      </c>
      <c r="V1" s="1" t="inlineStr">
        <is>
          <t>atk2_type</t>
        </is>
      </c>
      <c r="W1" s="1" t="inlineStr">
        <is>
          <t>atk2_dps</t>
        </is>
      </c>
      <c r="X1" s="1" t="inlineStr">
        <is>
          <t>splash_targets</t>
        </is>
      </c>
      <c r="Y1" s="1" t="inlineStr">
        <is>
          <t>armour_type</t>
        </is>
      </c>
      <c r="Z1" s="1" t="inlineStr">
        <is>
          <t>armour_value</t>
        </is>
      </c>
      <c r="AA1" s="1" t="inlineStr">
        <is>
          <t>hp</t>
        </is>
      </c>
      <c r="AB1" s="1" t="inlineStr">
        <is>
          <t>cost_lumber</t>
        </is>
      </c>
      <c r="AC1" s="1" t="inlineStr">
        <is>
          <t>atk1_weapon</t>
        </is>
      </c>
      <c r="AD1" s="1" t="inlineStr">
        <is>
          <t>atk1_base</t>
        </is>
      </c>
      <c r="AE1" s="1" t="inlineStr">
        <is>
          <t>atk1_dice</t>
        </is>
      </c>
      <c r="AF1" s="1" t="inlineStr">
        <is>
          <t>atk1_sides</t>
        </is>
      </c>
      <c r="AG1" s="1" t="inlineStr">
        <is>
          <t>atk1_type_resolved</t>
        </is>
      </c>
      <c r="AH1" s="1" t="inlineStr">
        <is>
          <t>base_unit</t>
        </is>
      </c>
      <c r="AI1" s="1" t="inlineStr">
        <is>
          <t>abilities</t>
        </is>
      </c>
      <c r="AJ1" s="1" t="inlineStr">
        <is>
          <t>tooltip</t>
        </is>
      </c>
      <c r="AK1" s="1" t="inlineStr">
        <is>
          <t>dps_raw</t>
        </is>
      </c>
      <c r="AL1" s="1" t="inlineStr">
        <is>
          <t>crit_multiplier</t>
        </is>
      </c>
      <c r="AM1" s="1" t="inlineStr">
        <is>
          <t>dps_with_crit</t>
        </is>
      </c>
      <c r="AN1" s="1" t="inlineStr">
        <is>
          <t>dps_per_gold</t>
        </is>
      </c>
      <c r="AO1" s="1" t="inlineStr">
        <is>
          <t>coverage_vs_725</t>
        </is>
      </c>
      <c r="AP1" s="1" t="inlineStr">
        <is>
          <t>dps_per_gold_coverage_adj</t>
        </is>
      </c>
      <c r="AQ1" s="1" t="inlineStr">
        <is>
          <t>on_hit_dps</t>
        </is>
      </c>
      <c r="AR1" s="1" t="inlineStr">
        <is>
          <t>dot_dps</t>
        </is>
      </c>
      <c r="AS1" s="1" t="inlineStr">
        <is>
          <t>dps_total_est</t>
        </is>
      </c>
      <c r="AT1" s="1" t="inlineStr">
        <is>
          <t>dps_per_gold_x_range</t>
        </is>
      </c>
      <c r="AU1" s="1" t="inlineStr">
        <is>
          <t>dps_source</t>
        </is>
      </c>
    </row>
    <row r="2">
      <c r="A2" t="inlineStr">
        <is>
          <t>Repel</t>
        </is>
      </c>
      <c r="B2" t="inlineStr">
        <is>
          <t>h039</t>
        </is>
      </c>
      <c r="C2" t="n">
        <v>1</v>
      </c>
      <c r="D2" t="n">
        <v>25</v>
      </c>
      <c r="E2" t="n">
        <v>0</v>
      </c>
      <c r="G2" t="inlineStr">
        <is>
          <t>Corruption</t>
        </is>
      </c>
      <c r="H2" t="inlineStr">
        <is>
          <t>Repel Aura (A03Q); Vindicator III (A02Z)</t>
        </is>
      </c>
      <c r="I2" t="inlineStr">
        <is>
          <t>air,enemies,ground,nonancient</t>
        </is>
      </c>
      <c r="J2" t="n">
        <v>33</v>
      </c>
      <c r="K2" t="n">
        <v>37</v>
      </c>
      <c r="L2" t="n">
        <v>35</v>
      </c>
      <c r="M2" t="n">
        <v>0.55</v>
      </c>
      <c r="N2" t="n">
        <v>1300</v>
      </c>
      <c r="P2" t="n">
        <v>63.6</v>
      </c>
      <c r="Z2" t="n">
        <v>0</v>
      </c>
      <c r="AA2" t="n">
        <v>1000</v>
      </c>
      <c r="AB2" t="n">
        <v>0</v>
      </c>
      <c r="AC2" t="inlineStr">
        <is>
          <t>missile</t>
        </is>
      </c>
      <c r="AD2" t="n">
        <v>32</v>
      </c>
      <c r="AE2" t="n">
        <v>1</v>
      </c>
      <c r="AF2" t="n">
        <v>5</v>
      </c>
      <c r="AG2" t="inlineStr">
        <is>
          <t>normal</t>
        </is>
      </c>
      <c r="AH2" t="inlineStr">
        <is>
          <t>hhou</t>
        </is>
      </c>
      <c r="AI2" t="inlineStr">
        <is>
          <t>A03Q,A02Z,A028</t>
        </is>
      </c>
      <c r="AJ2" t="inlineStr">
        <is>
          <t>Build Repel ( Q )</t>
        </is>
      </c>
      <c r="AK2" t="n">
        <v>63.6</v>
      </c>
      <c r="AL2" t="n">
        <v>5.5</v>
      </c>
      <c r="AM2">
        <f>AK2*AL2</f>
        <v/>
      </c>
      <c r="AN2">
        <f>IF(D2=0,"",AS2/D2)</f>
        <v/>
      </c>
      <c r="AO2">
        <f>(N2/725)^2</f>
        <v/>
      </c>
      <c r="AP2">
        <f>IF(D2=0,"",AN2*AO2)</f>
        <v/>
      </c>
      <c r="AS2">
        <f>AM2+N(AQ2)+N(AR2)</f>
        <v/>
      </c>
      <c r="AT2">
        <f>IF(D2=0,"",AN2*(N2/725))</f>
        <v/>
      </c>
      <c r="AU2" t="inlineStr">
        <is>
          <t>basic attack</t>
        </is>
      </c>
    </row>
    <row r="3">
      <c r="A3" t="inlineStr">
        <is>
          <t>Corruption</t>
        </is>
      </c>
      <c r="B3" t="inlineStr">
        <is>
          <t>h02Y</t>
        </is>
      </c>
      <c r="C3" t="n">
        <v>2</v>
      </c>
      <c r="D3" t="n">
        <v>35</v>
      </c>
      <c r="E3" t="n">
        <v>0</v>
      </c>
      <c r="F3" t="inlineStr">
        <is>
          <t>Repel</t>
        </is>
      </c>
      <c r="H3" t="inlineStr">
        <is>
          <t>Fortitude (A047); Slow Poison I (Aspo)</t>
        </is>
      </c>
      <c r="I3" t="inlineStr">
        <is>
          <t>air,enemies,ground,nonancient</t>
        </is>
      </c>
      <c r="J3" t="n">
        <v>60</v>
      </c>
      <c r="K3" t="n">
        <v>64</v>
      </c>
      <c r="L3" t="n">
        <v>62</v>
      </c>
      <c r="M3" t="n">
        <v>0.6</v>
      </c>
      <c r="N3" t="n">
        <v>1300</v>
      </c>
      <c r="P3" t="n">
        <v>103.3</v>
      </c>
      <c r="Z3" t="n">
        <v>4</v>
      </c>
      <c r="AA3" t="n">
        <v>1750</v>
      </c>
      <c r="AB3" t="n">
        <v>0</v>
      </c>
      <c r="AC3" t="inlineStr">
        <is>
          <t>missile</t>
        </is>
      </c>
      <c r="AD3" t="n">
        <v>59</v>
      </c>
      <c r="AE3" t="n">
        <v>1</v>
      </c>
      <c r="AF3" t="n">
        <v>5</v>
      </c>
      <c r="AG3" t="inlineStr">
        <is>
          <t>normal</t>
        </is>
      </c>
      <c r="AH3" t="inlineStr">
        <is>
          <t>hhou</t>
        </is>
      </c>
      <c r="AI3" t="inlineStr">
        <is>
          <t>A047,A028,Aspo</t>
        </is>
      </c>
      <c r="AJ3" t="inlineStr">
        <is>
          <t>U pgrade to Corruption</t>
        </is>
      </c>
      <c r="AK3" t="n">
        <v>103.3</v>
      </c>
      <c r="AL3" t="n">
        <v>1</v>
      </c>
      <c r="AM3">
        <f>AK3*AL3</f>
        <v/>
      </c>
      <c r="AN3">
        <f>IF(D3=0,"",AS3/D3)</f>
        <v/>
      </c>
      <c r="AO3">
        <f>(N3/725)^2</f>
        <v/>
      </c>
      <c r="AP3">
        <f>IF(D3=0,"",AN3*AO3)</f>
        <v/>
      </c>
      <c r="AR3" t="n">
        <v>4</v>
      </c>
      <c r="AS3">
        <f>AM3+N(AQ3)+N(AR3)</f>
        <v/>
      </c>
      <c r="AT3">
        <f>IF(D3=0,"",AN3*(N3/725))</f>
        <v/>
      </c>
      <c r="AU3" t="inlineStr">
        <is>
          <t>basic attack</t>
        </is>
      </c>
    </row>
    <row r="4">
      <c r="A4" t="inlineStr">
        <is>
          <t>Holy Fire Launcher</t>
        </is>
      </c>
      <c r="B4" t="inlineStr">
        <is>
          <t>h038</t>
        </is>
      </c>
      <c r="C4" t="n">
        <v>1</v>
      </c>
      <c r="D4" t="n">
        <v>205</v>
      </c>
      <c r="E4" t="n">
        <v>0</v>
      </c>
      <c r="G4" t="inlineStr">
        <is>
          <t>Foxfire Laser</t>
        </is>
      </c>
      <c r="H4" t="inlineStr">
        <is>
          <t>Air Critical Strike I (A005)</t>
        </is>
      </c>
      <c r="I4" t="inlineStr">
        <is>
          <t>air,enemies,ground,nonancient</t>
        </is>
      </c>
      <c r="J4" t="n">
        <v>186</v>
      </c>
      <c r="K4" t="n">
        <v>192</v>
      </c>
      <c r="L4" t="n">
        <v>189</v>
      </c>
      <c r="M4" t="n">
        <v>0.33</v>
      </c>
      <c r="N4" t="n">
        <v>1300</v>
      </c>
      <c r="O4" t="inlineStr">
        <is>
          <t>chaos</t>
        </is>
      </c>
      <c r="P4" t="n">
        <v>572.7</v>
      </c>
      <c r="X4" t="inlineStr">
        <is>
          <t>air,enemies,ground,nonancient</t>
        </is>
      </c>
      <c r="Z4" t="n">
        <v>3</v>
      </c>
      <c r="AA4" t="n">
        <v>1500</v>
      </c>
      <c r="AB4" t="n">
        <v>0</v>
      </c>
      <c r="AC4" t="inlineStr">
        <is>
          <t>missile</t>
        </is>
      </c>
      <c r="AD4" t="n">
        <v>185</v>
      </c>
      <c r="AE4" t="n">
        <v>1</v>
      </c>
      <c r="AF4" t="n">
        <v>7</v>
      </c>
      <c r="AG4" t="inlineStr">
        <is>
          <t>chaos</t>
        </is>
      </c>
      <c r="AH4" t="inlineStr">
        <is>
          <t>hhou</t>
        </is>
      </c>
      <c r="AI4" t="inlineStr">
        <is>
          <t>A028,A005</t>
        </is>
      </c>
      <c r="AJ4" t="inlineStr">
        <is>
          <t>Build Holy Fire Launcher ( W )</t>
        </is>
      </c>
      <c r="AK4" t="n">
        <v>572.7</v>
      </c>
      <c r="AL4" t="n">
        <v>1.25</v>
      </c>
      <c r="AM4">
        <f>AK4*AL4</f>
        <v/>
      </c>
      <c r="AN4">
        <f>IF(D4=0,"",AS4/D4)</f>
        <v/>
      </c>
      <c r="AO4">
        <f>(N4/725)^2</f>
        <v/>
      </c>
      <c r="AP4">
        <f>IF(D4=0,"",AN4*AO4)</f>
        <v/>
      </c>
      <c r="AS4">
        <f>AM4+N(AQ4)+N(AR4)</f>
        <v/>
      </c>
      <c r="AT4">
        <f>IF(D4=0,"",AN4*(N4/725))</f>
        <v/>
      </c>
      <c r="AU4" t="inlineStr">
        <is>
          <t>basic attack</t>
        </is>
      </c>
    </row>
    <row r="5">
      <c r="A5" t="inlineStr">
        <is>
          <t>Foxfire Laser</t>
        </is>
      </c>
      <c r="B5" t="inlineStr">
        <is>
          <t>h03A</t>
        </is>
      </c>
      <c r="C5" t="n">
        <v>2</v>
      </c>
      <c r="D5" t="n">
        <v>235</v>
      </c>
      <c r="E5" t="n">
        <v>0</v>
      </c>
      <c r="F5" t="inlineStr">
        <is>
          <t>Holy Fire Launcher</t>
        </is>
      </c>
      <c r="H5" t="inlineStr">
        <is>
          <t>Foxfire Laser (AUcs)</t>
        </is>
      </c>
      <c r="I5" t="inlineStr">
        <is>
          <t>air,enemies,ground,nonancient</t>
        </is>
      </c>
      <c r="X5" t="inlineStr">
        <is>
          <t>air,enemies,ground,nonancient</t>
        </is>
      </c>
      <c r="Z5" t="n">
        <v>2</v>
      </c>
      <c r="AA5" t="n">
        <v>1250</v>
      </c>
      <c r="AK5" t="n">
        <v>217.5</v>
      </c>
      <c r="AL5" t="n">
        <v>1</v>
      </c>
      <c r="AM5">
        <f>AK5*AL5</f>
        <v/>
      </c>
      <c r="AN5">
        <f>IF(D5=0,"",AS5/D5)</f>
        <v/>
      </c>
      <c r="AO5">
        <f>(N5/725)^2</f>
        <v/>
      </c>
      <c r="AP5">
        <f>IF(D5=0,"",AN5*AO5)</f>
        <v/>
      </c>
      <c r="AS5">
        <f>AM5+N(AQ5)+N(AR5)</f>
        <v/>
      </c>
      <c r="AT5">
        <f>IF(D5=0,"",AN5*(N5/725))</f>
        <v/>
      </c>
      <c r="AU5" t="inlineStr">
        <is>
          <t>caster: Foxfire Laser (sustained, mana-limited)</t>
        </is>
      </c>
    </row>
    <row r="6">
      <c r="A6" t="inlineStr">
        <is>
          <t>Sapphire Ward</t>
        </is>
      </c>
      <c r="B6" t="inlineStr">
        <is>
          <t>h031</t>
        </is>
      </c>
      <c r="C6" t="n">
        <v>1</v>
      </c>
      <c r="D6" t="n">
        <v>55</v>
      </c>
      <c r="E6" t="n">
        <v>0</v>
      </c>
      <c r="G6" t="inlineStr">
        <is>
          <t>Purity Ward</t>
        </is>
      </c>
      <c r="H6" t="inlineStr">
        <is>
          <t>Improved Ward (S001); Slow Aura I (A03M); Supine Hex I (A01B)</t>
        </is>
      </c>
      <c r="I6" t="inlineStr">
        <is>
          <t>air,enemies,ground,nonancient</t>
        </is>
      </c>
      <c r="J6" t="n">
        <v>76</v>
      </c>
      <c r="K6" t="n">
        <v>81</v>
      </c>
      <c r="L6" t="n">
        <v>78.5</v>
      </c>
      <c r="M6" t="n">
        <v>0.38</v>
      </c>
      <c r="N6" t="n">
        <v>950</v>
      </c>
      <c r="O6" t="inlineStr">
        <is>
          <t>chaos</t>
        </is>
      </c>
      <c r="P6" t="n">
        <v>206.6</v>
      </c>
      <c r="X6" t="inlineStr">
        <is>
          <t>air,enemies,ground,nonancient</t>
        </is>
      </c>
      <c r="Z6" t="n">
        <v>1</v>
      </c>
      <c r="AA6" t="n">
        <v>1750</v>
      </c>
      <c r="AB6" t="n">
        <v>0</v>
      </c>
      <c r="AC6" t="inlineStr">
        <is>
          <t>instant</t>
        </is>
      </c>
      <c r="AD6" t="n">
        <v>75</v>
      </c>
      <c r="AE6" t="n">
        <v>1</v>
      </c>
      <c r="AF6" t="n">
        <v>6</v>
      </c>
      <c r="AG6" t="inlineStr">
        <is>
          <t>chaos</t>
        </is>
      </c>
      <c r="AH6" t="inlineStr">
        <is>
          <t>hhou</t>
        </is>
      </c>
      <c r="AI6" t="inlineStr">
        <is>
          <t>S001,A03M,A028,A01B</t>
        </is>
      </c>
      <c r="AJ6" t="inlineStr">
        <is>
          <t>Build Sapphire Ward ( E )</t>
        </is>
      </c>
      <c r="AK6" t="n">
        <v>206.6</v>
      </c>
      <c r="AL6" t="n">
        <v>1</v>
      </c>
      <c r="AM6">
        <f>AK6*AL6</f>
        <v/>
      </c>
      <c r="AN6">
        <f>IF(D6=0,"",AS6/D6)</f>
        <v/>
      </c>
      <c r="AO6">
        <f>(N6/725)^2</f>
        <v/>
      </c>
      <c r="AP6">
        <f>IF(D6=0,"",AN6*AO6)</f>
        <v/>
      </c>
      <c r="AS6">
        <f>AM6+N(AQ6)+N(AR6)</f>
        <v/>
      </c>
      <c r="AT6">
        <f>IF(D6=0,"",AN6*(N6/725))</f>
        <v/>
      </c>
      <c r="AU6" t="inlineStr">
        <is>
          <t>basic attack</t>
        </is>
      </c>
    </row>
    <row r="7">
      <c r="A7" t="inlineStr">
        <is>
          <t>Purity Ward</t>
        </is>
      </c>
      <c r="B7" t="inlineStr">
        <is>
          <t>h032</t>
        </is>
      </c>
      <c r="C7" t="n">
        <v>2</v>
      </c>
      <c r="D7" t="n">
        <v>90</v>
      </c>
      <c r="E7" t="n">
        <v>0</v>
      </c>
      <c r="F7" t="inlineStr">
        <is>
          <t>Sapphire Ward</t>
        </is>
      </c>
      <c r="H7" t="inlineStr">
        <is>
          <t>Improved Ward (S001); Slow Aura II (A03N); Supine Hex II (A01C)</t>
        </is>
      </c>
      <c r="I7" t="inlineStr">
        <is>
          <t>air,enemies,ground,nonancient</t>
        </is>
      </c>
      <c r="J7" t="n">
        <v>201</v>
      </c>
      <c r="K7" t="n">
        <v>206</v>
      </c>
      <c r="L7" t="n">
        <v>203.5</v>
      </c>
      <c r="M7" t="n">
        <v>0.38</v>
      </c>
      <c r="N7" t="n">
        <v>1050</v>
      </c>
      <c r="O7" t="inlineStr">
        <is>
          <t>chaos</t>
        </is>
      </c>
      <c r="P7" t="n">
        <v>535.5</v>
      </c>
      <c r="X7" t="inlineStr">
        <is>
          <t>air,enemies,ground,nonancient</t>
        </is>
      </c>
      <c r="Z7" t="n">
        <v>2</v>
      </c>
      <c r="AA7" t="n">
        <v>2250</v>
      </c>
      <c r="AB7" t="n">
        <v>0</v>
      </c>
      <c r="AC7" t="inlineStr">
        <is>
          <t>instant</t>
        </is>
      </c>
      <c r="AD7" t="n">
        <v>200</v>
      </c>
      <c r="AE7" t="n">
        <v>1</v>
      </c>
      <c r="AF7" t="n">
        <v>6</v>
      </c>
      <c r="AG7" t="inlineStr">
        <is>
          <t>chaos</t>
        </is>
      </c>
      <c r="AH7" t="inlineStr">
        <is>
          <t>hhou</t>
        </is>
      </c>
      <c r="AI7" t="inlineStr">
        <is>
          <t>S001,A03N,A028,A01C</t>
        </is>
      </c>
      <c r="AJ7" t="inlineStr">
        <is>
          <t>U pgrade to Purity Ward</t>
        </is>
      </c>
      <c r="AK7" t="n">
        <v>535.5</v>
      </c>
      <c r="AL7" t="n">
        <v>1</v>
      </c>
      <c r="AM7">
        <f>AK7*AL7</f>
        <v/>
      </c>
      <c r="AN7">
        <f>IF(D7=0,"",AS7/D7)</f>
        <v/>
      </c>
      <c r="AO7">
        <f>(N7/725)^2</f>
        <v/>
      </c>
      <c r="AP7">
        <f>IF(D7=0,"",AN7*AO7)</f>
        <v/>
      </c>
      <c r="AS7">
        <f>AM7+N(AQ7)+N(AR7)</f>
        <v/>
      </c>
      <c r="AT7">
        <f>IF(D7=0,"",AN7*(N7/725))</f>
        <v/>
      </c>
      <c r="AU7" t="inlineStr">
        <is>
          <t>basic attack</t>
        </is>
      </c>
    </row>
    <row r="8">
      <c r="A8" t="inlineStr">
        <is>
          <t>Ochre Ward</t>
        </is>
      </c>
      <c r="B8" t="inlineStr">
        <is>
          <t>h02X</t>
        </is>
      </c>
      <c r="C8" t="n">
        <v>1</v>
      </c>
      <c r="D8" t="n">
        <v>95</v>
      </c>
      <c r="E8" t="n">
        <v>0</v>
      </c>
      <c r="G8" t="inlineStr">
        <is>
          <t>Scarlet Ward</t>
        </is>
      </c>
      <c r="H8" t="inlineStr">
        <is>
          <t>Sloth I (A01I)</t>
        </is>
      </c>
      <c r="I8" t="inlineStr">
        <is>
          <t>air,enemies,ground,nonancient</t>
        </is>
      </c>
      <c r="J8" t="n">
        <v>148</v>
      </c>
      <c r="K8" t="n">
        <v>157</v>
      </c>
      <c r="L8" t="n">
        <v>152.5</v>
      </c>
      <c r="M8" t="n">
        <v>1</v>
      </c>
      <c r="N8" t="n">
        <v>1200</v>
      </c>
      <c r="P8" t="n">
        <v>152.5</v>
      </c>
      <c r="Z8" t="n">
        <v>1</v>
      </c>
      <c r="AA8" t="n">
        <v>1500</v>
      </c>
      <c r="AB8" t="n">
        <v>0</v>
      </c>
      <c r="AC8" t="inlineStr">
        <is>
          <t>instant</t>
        </is>
      </c>
      <c r="AD8" t="n">
        <v>147</v>
      </c>
      <c r="AE8" t="n">
        <v>1</v>
      </c>
      <c r="AF8" t="n">
        <v>10</v>
      </c>
      <c r="AG8" t="inlineStr">
        <is>
          <t>normal</t>
        </is>
      </c>
      <c r="AH8" t="inlineStr">
        <is>
          <t>hhou</t>
        </is>
      </c>
      <c r="AI8" t="inlineStr">
        <is>
          <t>A028,A01I</t>
        </is>
      </c>
      <c r="AJ8" t="inlineStr">
        <is>
          <t>Build Ochre Ward ( R )</t>
        </is>
      </c>
      <c r="AK8" t="n">
        <v>152.5</v>
      </c>
      <c r="AL8" t="n">
        <v>1</v>
      </c>
      <c r="AM8">
        <f>AK8*AL8</f>
        <v/>
      </c>
      <c r="AN8">
        <f>IF(D8=0,"",AS8/D8)</f>
        <v/>
      </c>
      <c r="AO8">
        <f>(N8/725)^2</f>
        <v/>
      </c>
      <c r="AP8">
        <f>IF(D8=0,"",AN8*AO8)</f>
        <v/>
      </c>
      <c r="AS8">
        <f>AM8+N(AQ8)+N(AR8)</f>
        <v/>
      </c>
      <c r="AT8">
        <f>IF(D8=0,"",AN8*(N8/725))</f>
        <v/>
      </c>
      <c r="AU8" t="inlineStr">
        <is>
          <t>basic attack</t>
        </is>
      </c>
    </row>
    <row r="9">
      <c r="A9" t="inlineStr">
        <is>
          <t>Scarlet Ward</t>
        </is>
      </c>
      <c r="B9" t="inlineStr">
        <is>
          <t>h02Z</t>
        </is>
      </c>
      <c r="C9" t="n">
        <v>2</v>
      </c>
      <c r="D9" t="n">
        <v>145</v>
      </c>
      <c r="E9" t="n">
        <v>0</v>
      </c>
      <c r="F9" t="inlineStr">
        <is>
          <t>Ochre Ward</t>
        </is>
      </c>
      <c r="H9" t="inlineStr">
        <is>
          <t>Supreme Splash (A01Z); Sloth II (A01A)</t>
        </is>
      </c>
      <c r="I9" t="inlineStr">
        <is>
          <t>air,enemies,ground,nonancient</t>
        </is>
      </c>
      <c r="J9" t="n">
        <v>161</v>
      </c>
      <c r="K9" t="n">
        <v>169</v>
      </c>
      <c r="L9" t="n">
        <v>165</v>
      </c>
      <c r="M9" t="n">
        <v>0.75</v>
      </c>
      <c r="N9" t="n">
        <v>1300</v>
      </c>
      <c r="P9" t="n">
        <v>220</v>
      </c>
      <c r="X9" t="inlineStr">
        <is>
          <t>air,enemies,ground,nonancient</t>
        </is>
      </c>
      <c r="Z9" t="n">
        <v>2</v>
      </c>
      <c r="AA9" t="n">
        <v>1750</v>
      </c>
      <c r="AB9" t="n">
        <v>0</v>
      </c>
      <c r="AC9" t="inlineStr">
        <is>
          <t>msplash</t>
        </is>
      </c>
      <c r="AD9" t="n">
        <v>160</v>
      </c>
      <c r="AE9" t="n">
        <v>1</v>
      </c>
      <c r="AF9" t="n">
        <v>9</v>
      </c>
      <c r="AG9" t="inlineStr">
        <is>
          <t>normal</t>
        </is>
      </c>
      <c r="AH9" t="inlineStr">
        <is>
          <t>hhou</t>
        </is>
      </c>
      <c r="AI9" t="inlineStr">
        <is>
          <t>A028,A01Z,A01A</t>
        </is>
      </c>
      <c r="AJ9" t="inlineStr">
        <is>
          <t>U pgrade to Scarlet Ward</t>
        </is>
      </c>
      <c r="AK9" t="n">
        <v>220</v>
      </c>
      <c r="AL9" t="n">
        <v>1</v>
      </c>
      <c r="AM9">
        <f>AK9*AL9</f>
        <v/>
      </c>
      <c r="AN9">
        <f>IF(D9=0,"",AS9/D9)</f>
        <v/>
      </c>
      <c r="AO9">
        <f>(N9/725)^2</f>
        <v/>
      </c>
      <c r="AP9">
        <f>IF(D9=0,"",AN9*AO9)</f>
        <v/>
      </c>
      <c r="AS9">
        <f>AM9+N(AQ9)+N(AR9)</f>
        <v/>
      </c>
      <c r="AT9">
        <f>IF(D9=0,"",AN9*(N9/725))</f>
        <v/>
      </c>
      <c r="AU9" t="inlineStr">
        <is>
          <t>basic attack</t>
        </is>
      </c>
    </row>
    <row r="10">
      <c r="A10" t="inlineStr">
        <is>
          <t>Bombardment</t>
        </is>
      </c>
      <c r="B10" t="inlineStr">
        <is>
          <t>h03B</t>
        </is>
      </c>
      <c r="C10" t="n">
        <v>1</v>
      </c>
      <c r="D10" t="n">
        <v>140</v>
      </c>
      <c r="E10" t="n">
        <v>0</v>
      </c>
      <c r="G10" t="inlineStr">
        <is>
          <t>Interceptor Factory</t>
        </is>
      </c>
      <c r="H10" t="inlineStr">
        <is>
          <t>Missile Salvo I (A03R)</t>
        </is>
      </c>
      <c r="I10" t="inlineStr">
        <is>
          <t>air,enemies,ground,nonancient</t>
        </is>
      </c>
      <c r="J10" t="n">
        <v>450</v>
      </c>
      <c r="K10" t="n">
        <v>450</v>
      </c>
      <c r="L10" t="n">
        <v>450</v>
      </c>
      <c r="M10" t="n">
        <v>1.5</v>
      </c>
      <c r="N10" t="n">
        <v>1100</v>
      </c>
      <c r="O10" t="inlineStr">
        <is>
          <t>chaos</t>
        </is>
      </c>
      <c r="P10" t="n">
        <v>300</v>
      </c>
      <c r="X10" t="inlineStr">
        <is>
          <t>air,enemies,ground,nonancient</t>
        </is>
      </c>
      <c r="Z10" t="n">
        <v>3</v>
      </c>
      <c r="AA10" t="n">
        <v>1250</v>
      </c>
      <c r="AB10" t="n">
        <v>0</v>
      </c>
      <c r="AC10" t="inlineStr">
        <is>
          <t>missile</t>
        </is>
      </c>
      <c r="AD10" t="n">
        <v>449</v>
      </c>
      <c r="AE10" t="n">
        <v>1</v>
      </c>
      <c r="AF10" t="n">
        <v>1</v>
      </c>
      <c r="AG10" t="inlineStr">
        <is>
          <t>chaos</t>
        </is>
      </c>
      <c r="AH10" t="inlineStr">
        <is>
          <t>hhou</t>
        </is>
      </c>
      <c r="AI10" t="inlineStr">
        <is>
          <t>A03R,A028</t>
        </is>
      </c>
      <c r="AJ10" t="inlineStr">
        <is>
          <t>Build Bombardment ( A )</t>
        </is>
      </c>
      <c r="AK10" t="n">
        <v>300</v>
      </c>
      <c r="AL10" t="n">
        <v>1</v>
      </c>
      <c r="AM10">
        <f>AK10*AL10</f>
        <v/>
      </c>
      <c r="AN10">
        <f>IF(D10=0,"",AS10/D10)</f>
        <v/>
      </c>
      <c r="AO10">
        <f>(N10/725)^2</f>
        <v/>
      </c>
      <c r="AP10">
        <f>IF(D10=0,"",AN10*AO10)</f>
        <v/>
      </c>
      <c r="AS10">
        <f>AM10+N(AQ10)+N(AR10)</f>
        <v/>
      </c>
      <c r="AT10">
        <f>IF(D10=0,"",AN10*(N10/725))</f>
        <v/>
      </c>
      <c r="AU10" t="inlineStr">
        <is>
          <t>basic attack</t>
        </is>
      </c>
    </row>
    <row r="11">
      <c r="A11" t="inlineStr">
        <is>
          <t>Interceptor Factory</t>
        </is>
      </c>
      <c r="B11" t="inlineStr">
        <is>
          <t>h033</t>
        </is>
      </c>
      <c r="C11" t="n">
        <v>2</v>
      </c>
      <c r="D11" t="n">
        <v>240</v>
      </c>
      <c r="E11" t="n">
        <v>0</v>
      </c>
      <c r="F11" t="inlineStr">
        <is>
          <t>Bombardment</t>
        </is>
      </c>
      <c r="H11" t="inlineStr">
        <is>
          <t>Missile Salvo II (A03S)</t>
        </is>
      </c>
      <c r="I11" t="inlineStr">
        <is>
          <t>air,enemies,ground,nonancient</t>
        </is>
      </c>
      <c r="J11" t="n">
        <v>1200</v>
      </c>
      <c r="K11" t="n">
        <v>1200</v>
      </c>
      <c r="L11" t="n">
        <v>1200</v>
      </c>
      <c r="M11" t="n">
        <v>1.5</v>
      </c>
      <c r="N11" t="n">
        <v>1200</v>
      </c>
      <c r="O11" t="inlineStr">
        <is>
          <t>chaos</t>
        </is>
      </c>
      <c r="P11" t="n">
        <v>800</v>
      </c>
      <c r="X11" t="inlineStr">
        <is>
          <t>air,enemies,ground,nonancient</t>
        </is>
      </c>
      <c r="Z11" t="n">
        <v>4</v>
      </c>
      <c r="AA11" t="n">
        <v>1500</v>
      </c>
      <c r="AB11" t="n">
        <v>0</v>
      </c>
      <c r="AC11" t="inlineStr">
        <is>
          <t>missile</t>
        </is>
      </c>
      <c r="AD11" t="n">
        <v>1199</v>
      </c>
      <c r="AE11" t="n">
        <v>1</v>
      </c>
      <c r="AF11" t="n">
        <v>1</v>
      </c>
      <c r="AG11" t="inlineStr">
        <is>
          <t>chaos</t>
        </is>
      </c>
      <c r="AH11" t="inlineStr">
        <is>
          <t>hhou</t>
        </is>
      </c>
      <c r="AI11" t="inlineStr">
        <is>
          <t>A03S,A028</t>
        </is>
      </c>
      <c r="AJ11" t="inlineStr">
        <is>
          <t>U pgrade to Interceptor Factory</t>
        </is>
      </c>
      <c r="AK11" t="n">
        <v>800</v>
      </c>
      <c r="AL11" t="n">
        <v>1</v>
      </c>
      <c r="AM11">
        <f>AK11*AL11</f>
        <v/>
      </c>
      <c r="AN11">
        <f>IF(D11=0,"",AS11/D11)</f>
        <v/>
      </c>
      <c r="AO11">
        <f>(N11/725)^2</f>
        <v/>
      </c>
      <c r="AP11">
        <f>IF(D11=0,"",AN11*AO11)</f>
        <v/>
      </c>
      <c r="AS11">
        <f>AM11+N(AQ11)+N(AR11)</f>
        <v/>
      </c>
      <c r="AT11">
        <f>IF(D11=0,"",AN11*(N11/725))</f>
        <v/>
      </c>
      <c r="AU11" t="inlineStr">
        <is>
          <t>basic attack</t>
        </is>
      </c>
    </row>
    <row r="12">
      <c r="A12" t="inlineStr">
        <is>
          <t>Kazaana</t>
        </is>
      </c>
      <c r="B12" t="inlineStr">
        <is>
          <t>h034</t>
        </is>
      </c>
      <c r="C12" t="n">
        <v>1</v>
      </c>
      <c r="D12" t="n">
        <v>280</v>
      </c>
      <c r="E12" t="n">
        <v>0</v>
      </c>
      <c r="G12" t="inlineStr">
        <is>
          <t>Star Buster</t>
        </is>
      </c>
      <c r="H12" t="inlineStr">
        <is>
          <t>Fury of the Gods (ACmo)</t>
        </is>
      </c>
      <c r="I12" t="inlineStr">
        <is>
          <t>air,enemies,ground,nonancient</t>
        </is>
      </c>
      <c r="X12" t="inlineStr">
        <is>
          <t>air,enemies,ground,nonancient</t>
        </is>
      </c>
      <c r="Z12" t="n">
        <v>3</v>
      </c>
      <c r="AA12" t="n">
        <v>2250</v>
      </c>
      <c r="AK12" t="n">
        <v>29</v>
      </c>
      <c r="AL12" t="n">
        <v>1</v>
      </c>
      <c r="AM12">
        <f>AK12*AL12</f>
        <v/>
      </c>
      <c r="AN12">
        <f>IF(D12=0,"",AS12/D12)</f>
        <v/>
      </c>
      <c r="AO12">
        <f>(N12/725)^2</f>
        <v/>
      </c>
      <c r="AP12">
        <f>IF(D12=0,"",AN12*AO12)</f>
        <v/>
      </c>
      <c r="AS12">
        <f>AM12+N(AQ12)+N(AR12)</f>
        <v/>
      </c>
      <c r="AT12">
        <f>IF(D12=0,"",AN12*(N12/725))</f>
        <v/>
      </c>
      <c r="AU12" t="inlineStr">
        <is>
          <t>caster: Fury of the Gods (sustained, mana-limited)</t>
        </is>
      </c>
    </row>
    <row r="13">
      <c r="A13" t="inlineStr">
        <is>
          <t>Star Buster</t>
        </is>
      </c>
      <c r="B13" t="inlineStr">
        <is>
          <t>h035</t>
        </is>
      </c>
      <c r="C13" t="n">
        <v>2</v>
      </c>
      <c r="D13" t="n">
        <v>325</v>
      </c>
      <c r="E13" t="n">
        <v>0</v>
      </c>
      <c r="F13" t="inlineStr">
        <is>
          <t>Kazaana</t>
        </is>
      </c>
      <c r="H13" t="inlineStr">
        <is>
          <t>Starburst (AEsf)</t>
        </is>
      </c>
      <c r="I13" t="inlineStr">
        <is>
          <t>air,enemies,ground,nonancient</t>
        </is>
      </c>
      <c r="J13" t="n">
        <v>560</v>
      </c>
      <c r="K13" t="n">
        <v>566</v>
      </c>
      <c r="L13" t="n">
        <v>563</v>
      </c>
      <c r="M13" t="n">
        <v>1.2</v>
      </c>
      <c r="N13" t="n">
        <v>1300</v>
      </c>
      <c r="O13" t="inlineStr">
        <is>
          <t>magic</t>
        </is>
      </c>
      <c r="P13" t="n">
        <v>469.2</v>
      </c>
      <c r="Z13" t="n">
        <v>4</v>
      </c>
      <c r="AA13" t="n">
        <v>2250</v>
      </c>
      <c r="AB13" t="n">
        <v>0</v>
      </c>
      <c r="AC13" t="inlineStr">
        <is>
          <t>missile</t>
        </is>
      </c>
      <c r="AD13" t="n">
        <v>559</v>
      </c>
      <c r="AE13" t="n">
        <v>1</v>
      </c>
      <c r="AF13" t="n">
        <v>7</v>
      </c>
      <c r="AG13" t="inlineStr">
        <is>
          <t>magic</t>
        </is>
      </c>
      <c r="AH13" t="inlineStr">
        <is>
          <t>hhou</t>
        </is>
      </c>
      <c r="AI13" t="inlineStr">
        <is>
          <t>A028,AEsf</t>
        </is>
      </c>
      <c r="AJ13" t="inlineStr">
        <is>
          <t>U pgrade to Star Buster</t>
        </is>
      </c>
      <c r="AK13" t="n">
        <v>469.2</v>
      </c>
      <c r="AL13" t="n">
        <v>1</v>
      </c>
      <c r="AM13">
        <f>AK13*AL13</f>
        <v/>
      </c>
      <c r="AN13">
        <f>IF(D13=0,"",AS13/D13)</f>
        <v/>
      </c>
      <c r="AO13">
        <f>(N13/725)^2</f>
        <v/>
      </c>
      <c r="AP13">
        <f>IF(D13=0,"",AN13*AO13)</f>
        <v/>
      </c>
      <c r="AS13">
        <f>AM13+N(AQ13)+N(AR13)</f>
        <v/>
      </c>
      <c r="AT13">
        <f>IF(D13=0,"",AN13*(N13/725))</f>
        <v/>
      </c>
      <c r="AU13" t="inlineStr">
        <is>
          <t>basic attack</t>
        </is>
      </c>
    </row>
    <row r="14">
      <c r="A14" t="inlineStr">
        <is>
          <t>Protection Ward</t>
        </is>
      </c>
      <c r="B14" t="inlineStr">
        <is>
          <t>h02U</t>
        </is>
      </c>
      <c r="C14" t="n">
        <v>1</v>
      </c>
      <c r="D14" t="n">
        <v>140</v>
      </c>
      <c r="E14" t="n">
        <v>0</v>
      </c>
      <c r="G14" t="inlineStr">
        <is>
          <t>Roseate Ward</t>
        </is>
      </c>
      <c r="H14" t="inlineStr">
        <is>
          <t>Toughness Aura I (AHad); Cure All (A00X)</t>
        </is>
      </c>
      <c r="I14" t="inlineStr">
        <is>
          <t>air,enemies,ground,nonancient</t>
        </is>
      </c>
      <c r="J14" t="n">
        <v>251</v>
      </c>
      <c r="K14" t="n">
        <v>257</v>
      </c>
      <c r="L14" t="n">
        <v>254</v>
      </c>
      <c r="M14" t="n">
        <v>0.8</v>
      </c>
      <c r="N14" t="n">
        <v>1300</v>
      </c>
      <c r="O14" t="inlineStr">
        <is>
          <t>pierce</t>
        </is>
      </c>
      <c r="P14" t="n">
        <v>317.5</v>
      </c>
      <c r="X14" t="inlineStr">
        <is>
          <t>air,enemies,ground,nonancient</t>
        </is>
      </c>
      <c r="AA14" t="n">
        <v>2000</v>
      </c>
      <c r="AB14" t="n">
        <v>0</v>
      </c>
      <c r="AC14" t="inlineStr">
        <is>
          <t>missile</t>
        </is>
      </c>
      <c r="AD14" t="n">
        <v>250</v>
      </c>
      <c r="AE14" t="n">
        <v>1</v>
      </c>
      <c r="AF14" t="n">
        <v>7</v>
      </c>
      <c r="AG14" t="inlineStr">
        <is>
          <t>pierce</t>
        </is>
      </c>
      <c r="AH14" t="inlineStr">
        <is>
          <t>hhou</t>
        </is>
      </c>
      <c r="AI14" t="inlineStr">
        <is>
          <t>AHad,A028,A00X</t>
        </is>
      </c>
      <c r="AJ14" t="inlineStr">
        <is>
          <t>Build Protection Ward  ( D )</t>
        </is>
      </c>
      <c r="AK14" t="n">
        <v>317.5</v>
      </c>
      <c r="AL14" t="n">
        <v>1</v>
      </c>
      <c r="AM14">
        <f>AK14*AL14</f>
        <v/>
      </c>
      <c r="AN14">
        <f>IF(D14=0,"",AS14/D14)</f>
        <v/>
      </c>
      <c r="AO14">
        <f>(N14/725)^2</f>
        <v/>
      </c>
      <c r="AP14">
        <f>IF(D14=0,"",AN14*AO14)</f>
        <v/>
      </c>
      <c r="AS14">
        <f>AM14+N(AQ14)+N(AR14)</f>
        <v/>
      </c>
      <c r="AT14">
        <f>IF(D14=0,"",AN14*(N14/725))</f>
        <v/>
      </c>
      <c r="AU14" t="inlineStr">
        <is>
          <t>basic attack</t>
        </is>
      </c>
    </row>
    <row r="15">
      <c r="A15" t="inlineStr">
        <is>
          <t>Roseate Ward</t>
        </is>
      </c>
      <c r="B15" t="inlineStr">
        <is>
          <t>h02W</t>
        </is>
      </c>
      <c r="C15" t="n">
        <v>2</v>
      </c>
      <c r="D15" t="n">
        <v>160</v>
      </c>
      <c r="E15" t="n">
        <v>0</v>
      </c>
      <c r="F15" t="inlineStr">
        <is>
          <t>Protection Ward</t>
        </is>
      </c>
      <c r="H15" t="inlineStr">
        <is>
          <t>Toughness Aura II (A03P); Cure All (A00X)</t>
        </is>
      </c>
      <c r="I15" t="inlineStr">
        <is>
          <t>air,enemies,ground,nonancient</t>
        </is>
      </c>
      <c r="J15" t="n">
        <v>646</v>
      </c>
      <c r="K15" t="n">
        <v>652</v>
      </c>
      <c r="L15" t="n">
        <v>649</v>
      </c>
      <c r="M15" t="n">
        <v>0.8</v>
      </c>
      <c r="N15" t="n">
        <v>1300</v>
      </c>
      <c r="O15" t="inlineStr">
        <is>
          <t>pierce</t>
        </is>
      </c>
      <c r="P15" t="n">
        <v>811.2</v>
      </c>
      <c r="X15" t="inlineStr">
        <is>
          <t>air,enemies,ground,nonancient</t>
        </is>
      </c>
      <c r="AA15" t="n">
        <v>2500</v>
      </c>
      <c r="AB15" t="n">
        <v>0</v>
      </c>
      <c r="AC15" t="inlineStr">
        <is>
          <t>missile</t>
        </is>
      </c>
      <c r="AD15" t="n">
        <v>645</v>
      </c>
      <c r="AE15" t="n">
        <v>1</v>
      </c>
      <c r="AF15" t="n">
        <v>7</v>
      </c>
      <c r="AG15" t="inlineStr">
        <is>
          <t>pierce</t>
        </is>
      </c>
      <c r="AH15" t="inlineStr">
        <is>
          <t>hhou</t>
        </is>
      </c>
      <c r="AI15" t="inlineStr">
        <is>
          <t>A03P,A028,A00X</t>
        </is>
      </c>
      <c r="AJ15" t="inlineStr">
        <is>
          <t>U pgrade to Roseate Ward</t>
        </is>
      </c>
      <c r="AK15" t="n">
        <v>811.2</v>
      </c>
      <c r="AL15" t="n">
        <v>1</v>
      </c>
      <c r="AM15">
        <f>AK15*AL15</f>
        <v/>
      </c>
      <c r="AN15">
        <f>IF(D15=0,"",AS15/D15)</f>
        <v/>
      </c>
      <c r="AO15">
        <f>(N15/725)^2</f>
        <v/>
      </c>
      <c r="AP15">
        <f>IF(D15=0,"",AN15*AO15)</f>
        <v/>
      </c>
      <c r="AS15">
        <f>AM15+N(AQ15)+N(AR15)</f>
        <v/>
      </c>
      <c r="AT15">
        <f>IF(D15=0,"",AN15*(N15/725))</f>
        <v/>
      </c>
      <c r="AU15" t="inlineStr">
        <is>
          <t>basic attack</t>
        </is>
      </c>
    </row>
    <row r="16">
      <c r="A16" t="inlineStr">
        <is>
          <t>Lilac Ward</t>
        </is>
      </c>
      <c r="B16" t="inlineStr">
        <is>
          <t>h02T</t>
        </is>
      </c>
      <c r="C16" t="n">
        <v>1</v>
      </c>
      <c r="D16" t="n">
        <v>185</v>
      </c>
      <c r="E16" t="n">
        <v>0</v>
      </c>
      <c r="G16" t="inlineStr">
        <is>
          <t>Malachite Ward</t>
        </is>
      </c>
      <c r="H16" t="inlineStr">
        <is>
          <t>Improved Ward (S001); Boss Assassin I (A03D); Curse Boss I (A01H)</t>
        </is>
      </c>
      <c r="I16" t="inlineStr">
        <is>
          <t>air,enemies,ground,nonancient</t>
        </is>
      </c>
      <c r="J16" t="n">
        <v>279</v>
      </c>
      <c r="K16" t="n">
        <v>285</v>
      </c>
      <c r="L16" t="n">
        <v>282</v>
      </c>
      <c r="M16" t="n">
        <v>0.6</v>
      </c>
      <c r="N16" t="n">
        <v>1450</v>
      </c>
      <c r="O16" t="inlineStr">
        <is>
          <t>hero</t>
        </is>
      </c>
      <c r="P16" t="n">
        <v>470</v>
      </c>
      <c r="X16" t="inlineStr">
        <is>
          <t>air,enemies,ground,nonancient</t>
        </is>
      </c>
      <c r="Z16" t="n">
        <v>3</v>
      </c>
      <c r="AA16" t="n">
        <v>1750</v>
      </c>
      <c r="AB16" t="n">
        <v>0</v>
      </c>
      <c r="AC16" t="inlineStr">
        <is>
          <t>missile</t>
        </is>
      </c>
      <c r="AD16" t="n">
        <v>278</v>
      </c>
      <c r="AE16" t="n">
        <v>1</v>
      </c>
      <c r="AF16" t="n">
        <v>7</v>
      </c>
      <c r="AG16" t="inlineStr">
        <is>
          <t>hero</t>
        </is>
      </c>
      <c r="AH16" t="inlineStr">
        <is>
          <t>hhou</t>
        </is>
      </c>
      <c r="AI16" t="inlineStr">
        <is>
          <t>S001,A03D,A028,A01H</t>
        </is>
      </c>
      <c r="AJ16" t="inlineStr">
        <is>
          <t>Build Lilac Ward ( F )</t>
        </is>
      </c>
      <c r="AK16" t="n">
        <v>470</v>
      </c>
      <c r="AL16" t="n">
        <v>1</v>
      </c>
      <c r="AM16">
        <f>AK16*AL16</f>
        <v/>
      </c>
      <c r="AN16">
        <f>IF(D16=0,"",AS16/D16)</f>
        <v/>
      </c>
      <c r="AO16">
        <f>(N16/725)^2</f>
        <v/>
      </c>
      <c r="AP16">
        <f>IF(D16=0,"",AN16*AO16)</f>
        <v/>
      </c>
      <c r="AS16">
        <f>AM16+N(AQ16)+N(AR16)</f>
        <v/>
      </c>
      <c r="AT16">
        <f>IF(D16=0,"",AN16*(N16/725))</f>
        <v/>
      </c>
      <c r="AU16" t="inlineStr">
        <is>
          <t>basic attack</t>
        </is>
      </c>
    </row>
    <row r="17">
      <c r="A17" t="inlineStr">
        <is>
          <t>Malachite Ward</t>
        </is>
      </c>
      <c r="B17" t="inlineStr">
        <is>
          <t>h02S</t>
        </is>
      </c>
      <c r="C17" t="n">
        <v>2</v>
      </c>
      <c r="D17" t="n">
        <v>215</v>
      </c>
      <c r="E17" t="n">
        <v>0</v>
      </c>
      <c r="F17" t="inlineStr">
        <is>
          <t>Lilac Ward</t>
        </is>
      </c>
      <c r="H17" t="inlineStr">
        <is>
          <t>Improved Ward (S001); Boss Assassin I (A03D); Uber Splash (A022); Curse Boss II (A01G)</t>
        </is>
      </c>
      <c r="I17" t="inlineStr">
        <is>
          <t>air,enemies,ground,nonancient</t>
        </is>
      </c>
      <c r="J17" t="n">
        <v>426</v>
      </c>
      <c r="K17" t="n">
        <v>432</v>
      </c>
      <c r="L17" t="n">
        <v>429</v>
      </c>
      <c r="M17" t="n">
        <v>1</v>
      </c>
      <c r="N17" t="n">
        <v>1450</v>
      </c>
      <c r="O17" t="inlineStr">
        <is>
          <t>hero</t>
        </is>
      </c>
      <c r="P17" t="n">
        <v>429</v>
      </c>
      <c r="X17" t="inlineStr">
        <is>
          <t>air,enemies,ground,nonancient</t>
        </is>
      </c>
      <c r="Z17" t="n">
        <v>4</v>
      </c>
      <c r="AA17" t="n">
        <v>2000</v>
      </c>
      <c r="AB17" t="n">
        <v>0</v>
      </c>
      <c r="AC17" t="inlineStr">
        <is>
          <t>msplash</t>
        </is>
      </c>
      <c r="AD17" t="n">
        <v>425</v>
      </c>
      <c r="AE17" t="n">
        <v>1</v>
      </c>
      <c r="AF17" t="n">
        <v>7</v>
      </c>
      <c r="AG17" t="inlineStr">
        <is>
          <t>hero</t>
        </is>
      </c>
      <c r="AH17" t="inlineStr">
        <is>
          <t>hhou</t>
        </is>
      </c>
      <c r="AI17" t="inlineStr">
        <is>
          <t>S001,A03D,A028,A022,A01G</t>
        </is>
      </c>
      <c r="AJ17" t="inlineStr">
        <is>
          <t>U pgrade to Malachite Ward</t>
        </is>
      </c>
      <c r="AK17" t="n">
        <v>429</v>
      </c>
      <c r="AL17" t="n">
        <v>1</v>
      </c>
      <c r="AM17">
        <f>AK17*AL17</f>
        <v/>
      </c>
      <c r="AN17">
        <f>IF(D17=0,"",AS17/D17)</f>
        <v/>
      </c>
      <c r="AO17">
        <f>(N17/725)^2</f>
        <v/>
      </c>
      <c r="AP17">
        <f>IF(D17=0,"",AN17*AO17)</f>
        <v/>
      </c>
      <c r="AS17">
        <f>AM17+N(AQ17)+N(AR17)</f>
        <v/>
      </c>
      <c r="AT17">
        <f>IF(D17=0,"",AN17*(N17/725))</f>
        <v/>
      </c>
      <c r="AU17" t="inlineStr">
        <is>
          <t>basic attack</t>
        </is>
      </c>
    </row>
    <row r="18">
      <c r="A18" t="inlineStr">
        <is>
          <t>Porcus Maximus</t>
        </is>
      </c>
      <c r="B18" t="inlineStr">
        <is>
          <t>h030</t>
        </is>
      </c>
      <c r="C18" t="n">
        <v>1</v>
      </c>
      <c r="D18" t="n">
        <v>650</v>
      </c>
      <c r="E18" t="n">
        <v>0</v>
      </c>
      <c r="H18" t="inlineStr">
        <is>
          <t>Multiple Shot (A01M)</t>
        </is>
      </c>
      <c r="I18" t="inlineStr">
        <is>
          <t>air,enemies,ground,nonancient</t>
        </is>
      </c>
      <c r="J18" t="n">
        <v>956</v>
      </c>
      <c r="K18" t="n">
        <v>971</v>
      </c>
      <c r="L18" t="n">
        <v>963.5</v>
      </c>
      <c r="M18" t="n">
        <v>1</v>
      </c>
      <c r="N18" t="n">
        <v>1500</v>
      </c>
      <c r="O18" t="inlineStr">
        <is>
          <t>hero</t>
        </is>
      </c>
      <c r="P18" t="n">
        <v>963.5</v>
      </c>
      <c r="X18" t="inlineStr">
        <is>
          <t>air,enemies,ground,nonancient</t>
        </is>
      </c>
      <c r="Z18" t="n">
        <v>8</v>
      </c>
      <c r="AA18" t="n">
        <v>3500</v>
      </c>
      <c r="AB18" t="n">
        <v>0</v>
      </c>
      <c r="AC18" t="inlineStr">
        <is>
          <t>mbounce</t>
        </is>
      </c>
      <c r="AD18" t="n">
        <v>955</v>
      </c>
      <c r="AE18" t="n">
        <v>1</v>
      </c>
      <c r="AF18" t="n">
        <v>16</v>
      </c>
      <c r="AG18" t="inlineStr">
        <is>
          <t>hero</t>
        </is>
      </c>
      <c r="AH18" t="inlineStr">
        <is>
          <t>hhou</t>
        </is>
      </c>
      <c r="AI18" t="inlineStr">
        <is>
          <t>A028,A01M</t>
        </is>
      </c>
      <c r="AJ18" t="inlineStr">
        <is>
          <t>Build Porcus Maximus ( Z )</t>
        </is>
      </c>
      <c r="AK18" t="n">
        <v>963.5</v>
      </c>
      <c r="AL18" t="n">
        <v>1</v>
      </c>
      <c r="AM18">
        <f>AK18*AL18</f>
        <v/>
      </c>
      <c r="AN18">
        <f>IF(D18=0,"",AS18/D18)</f>
        <v/>
      </c>
      <c r="AO18">
        <f>(N18/725)^2</f>
        <v/>
      </c>
      <c r="AP18">
        <f>IF(D18=0,"",AN18*AO18)</f>
        <v/>
      </c>
      <c r="AS18">
        <f>AM18+N(AQ18)+N(AR18)</f>
        <v/>
      </c>
      <c r="AT18">
        <f>IF(D18=0,"",AN18*(N18/725))</f>
        <v/>
      </c>
      <c r="AU18" t="inlineStr">
        <is>
          <t>basic attack</t>
        </is>
      </c>
    </row>
    <row r="19">
      <c r="A19" t="inlineStr">
        <is>
          <t>Earth's Blood</t>
        </is>
      </c>
      <c r="B19" t="inlineStr">
        <is>
          <t>h036</t>
        </is>
      </c>
      <c r="C19" t="n">
        <v>1</v>
      </c>
      <c r="D19" t="n">
        <v>555</v>
      </c>
      <c r="E19" t="n">
        <v>0</v>
      </c>
      <c r="H19" t="inlineStr">
        <is>
          <t>Vindicator I (A02Y); Air Deficiency (A009); Uber Ground Splash (A01X)</t>
        </is>
      </c>
      <c r="I19" t="inlineStr">
        <is>
          <t>air,enemies,ground,nonancient</t>
        </is>
      </c>
      <c r="J19" t="n">
        <v>2150</v>
      </c>
      <c r="K19" t="n">
        <v>2150</v>
      </c>
      <c r="L19" t="n">
        <v>2150</v>
      </c>
      <c r="M19" t="n">
        <v>2</v>
      </c>
      <c r="N19" t="n">
        <v>1300</v>
      </c>
      <c r="O19" t="inlineStr">
        <is>
          <t>siege</t>
        </is>
      </c>
      <c r="P19" t="n">
        <v>1075</v>
      </c>
      <c r="X19" t="inlineStr">
        <is>
          <t>enemies,ground,nonancient</t>
        </is>
      </c>
      <c r="AA19" t="n">
        <v>2750</v>
      </c>
      <c r="AB19" t="n">
        <v>0</v>
      </c>
      <c r="AC19" t="inlineStr">
        <is>
          <t>msplash</t>
        </is>
      </c>
      <c r="AD19" t="n">
        <v>2149</v>
      </c>
      <c r="AE19" t="n">
        <v>1</v>
      </c>
      <c r="AF19" t="n">
        <v>1</v>
      </c>
      <c r="AG19" t="inlineStr">
        <is>
          <t>siege</t>
        </is>
      </c>
      <c r="AH19" t="inlineStr">
        <is>
          <t>hhou</t>
        </is>
      </c>
      <c r="AI19" t="inlineStr">
        <is>
          <t>A02Y,A028,A009,A01X</t>
        </is>
      </c>
      <c r="AJ19" t="inlineStr">
        <is>
          <t>Build Earth's Blood ( X )</t>
        </is>
      </c>
      <c r="AK19" t="n">
        <v>1075</v>
      </c>
      <c r="AL19" t="n">
        <v>2.25</v>
      </c>
      <c r="AM19">
        <f>AK19*AL19</f>
        <v/>
      </c>
      <c r="AN19">
        <f>IF(D19=0,"",AS19/D19)</f>
        <v/>
      </c>
      <c r="AO19">
        <f>(N19/725)^2</f>
        <v/>
      </c>
      <c r="AP19">
        <f>IF(D19=0,"",AN19*AO19)</f>
        <v/>
      </c>
      <c r="AS19">
        <f>AM19+N(AQ19)+N(AR19)</f>
        <v/>
      </c>
      <c r="AT19">
        <f>IF(D19=0,"",AN19*(N19/725))</f>
        <v/>
      </c>
      <c r="AU19" t="inlineStr">
        <is>
          <t>basic attack</t>
        </is>
      </c>
    </row>
    <row r="20">
      <c r="A20" t="inlineStr">
        <is>
          <t>Icy Skewer</t>
        </is>
      </c>
      <c r="B20" t="inlineStr">
        <is>
          <t>h037</t>
        </is>
      </c>
      <c r="C20" t="n">
        <v>1</v>
      </c>
      <c r="D20" t="n">
        <v>895</v>
      </c>
      <c r="E20" t="n">
        <v>1</v>
      </c>
      <c r="G20" t="inlineStr">
        <is>
          <t>Glacial Spike</t>
        </is>
      </c>
      <c r="H20" t="inlineStr">
        <is>
          <t>Bash III (A02E); Versatile Critical Strike I (A004)</t>
        </is>
      </c>
      <c r="I20" t="inlineStr">
        <is>
          <t>air,enemies,ground,nonancient</t>
        </is>
      </c>
      <c r="J20" t="n">
        <v>4000</v>
      </c>
      <c r="K20" t="n">
        <v>4000</v>
      </c>
      <c r="L20" t="n">
        <v>4000</v>
      </c>
      <c r="M20" t="n">
        <v>0.9</v>
      </c>
      <c r="N20" t="n">
        <v>1100</v>
      </c>
      <c r="O20" t="inlineStr">
        <is>
          <t>chaos</t>
        </is>
      </c>
      <c r="P20" t="n">
        <v>4444.4</v>
      </c>
      <c r="Z20" t="n">
        <v>6</v>
      </c>
      <c r="AA20" t="n">
        <v>3250</v>
      </c>
      <c r="AB20" t="n">
        <v>0</v>
      </c>
      <c r="AC20" t="inlineStr">
        <is>
          <t>missile</t>
        </is>
      </c>
      <c r="AD20" t="n">
        <v>3999</v>
      </c>
      <c r="AE20" t="n">
        <v>1</v>
      </c>
      <c r="AF20" t="n">
        <v>1</v>
      </c>
      <c r="AG20" t="inlineStr">
        <is>
          <t>chaos</t>
        </is>
      </c>
      <c r="AH20" t="inlineStr">
        <is>
          <t>hhou</t>
        </is>
      </c>
      <c r="AI20" t="inlineStr">
        <is>
          <t>A02E,A028,A004</t>
        </is>
      </c>
      <c r="AJ20" t="inlineStr">
        <is>
          <t>Build Icy Skewer ( C )</t>
        </is>
      </c>
      <c r="AK20" t="n">
        <v>4444.4</v>
      </c>
      <c r="AL20" t="n">
        <v>1.52</v>
      </c>
      <c r="AM20">
        <f>AK20*AL20</f>
        <v/>
      </c>
      <c r="AN20">
        <f>IF(D20=0,"",AS20/D20)</f>
        <v/>
      </c>
      <c r="AO20">
        <f>(N20/725)^2</f>
        <v/>
      </c>
      <c r="AP20">
        <f>IF(D20=0,"",AN20*AO20)</f>
        <v/>
      </c>
      <c r="AQ20" t="n">
        <v>550</v>
      </c>
      <c r="AS20">
        <f>AM20+N(AQ20)+N(AR20)</f>
        <v/>
      </c>
      <c r="AT20">
        <f>IF(D20=0,"",AN20*(N20/725))</f>
        <v/>
      </c>
      <c r="AU20" t="inlineStr">
        <is>
          <t>basic attack</t>
        </is>
      </c>
    </row>
    <row r="21">
      <c r="A21" t="inlineStr">
        <is>
          <t>Glacial Spike</t>
        </is>
      </c>
      <c r="B21" t="inlineStr">
        <is>
          <t>h02V</t>
        </is>
      </c>
      <c r="C21" t="n">
        <v>2</v>
      </c>
      <c r="D21" t="n">
        <v>935</v>
      </c>
      <c r="E21" t="n">
        <v>1</v>
      </c>
      <c r="F21" t="inlineStr">
        <is>
          <t>Icy Skewer</t>
        </is>
      </c>
      <c r="H21" t="inlineStr">
        <is>
          <t>Improved Glacial Spike (S000); Boss Assassin I (A03D); Collapse (A019)</t>
        </is>
      </c>
      <c r="I21" t="inlineStr">
        <is>
          <t>air,enemies,ground,nonancient</t>
        </is>
      </c>
      <c r="J21" t="n">
        <v>20000</v>
      </c>
      <c r="K21" t="n">
        <v>20000</v>
      </c>
      <c r="L21" t="n">
        <v>20000</v>
      </c>
      <c r="M21" t="n">
        <v>1.5</v>
      </c>
      <c r="N21" t="n">
        <v>1300</v>
      </c>
      <c r="O21" t="inlineStr">
        <is>
          <t>chaos</t>
        </is>
      </c>
      <c r="P21" t="n">
        <v>13333.3</v>
      </c>
      <c r="Z21" t="n">
        <v>7</v>
      </c>
      <c r="AA21" t="n">
        <v>3500</v>
      </c>
      <c r="AB21" t="n">
        <v>0</v>
      </c>
      <c r="AC21" t="inlineStr">
        <is>
          <t>instant</t>
        </is>
      </c>
      <c r="AD21" t="n">
        <v>19999</v>
      </c>
      <c r="AE21" t="n">
        <v>1</v>
      </c>
      <c r="AF21" t="n">
        <v>1</v>
      </c>
      <c r="AG21" t="inlineStr">
        <is>
          <t>chaos</t>
        </is>
      </c>
      <c r="AH21" t="inlineStr">
        <is>
          <t>hhou</t>
        </is>
      </c>
      <c r="AI21" t="inlineStr">
        <is>
          <t>S000,A03D,A028,A019</t>
        </is>
      </c>
      <c r="AJ21" t="inlineStr">
        <is>
          <t>U pgrade to Glacial Spike</t>
        </is>
      </c>
      <c r="AK21" t="n">
        <v>13333.3</v>
      </c>
      <c r="AL21" t="n">
        <v>1</v>
      </c>
      <c r="AM21">
        <f>AK21*AL21</f>
        <v/>
      </c>
      <c r="AN21">
        <f>IF(D21=0,"",AS21/D21)</f>
        <v/>
      </c>
      <c r="AO21">
        <f>(N21/725)^2</f>
        <v/>
      </c>
      <c r="AP21">
        <f>IF(D21=0,"",AN21*AO21)</f>
        <v/>
      </c>
      <c r="AS21">
        <f>AM21+N(AQ21)+N(AR21)</f>
        <v/>
      </c>
      <c r="AT21">
        <f>IF(D21=0,"",AN21*(N21/725))</f>
        <v/>
      </c>
      <c r="AU21" t="inlineStr">
        <is>
          <t>basic attack</t>
        </is>
      </c>
    </row>
  </sheetData>
  <autoFilter ref="A1:AU2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Y24"/>
  <sheetViews>
    <sheetView workbookViewId="0">
      <pane ySplit="1" topLeftCell="A2" activePane="bottomLeft" state="frozen"/>
      <selection pane="bottomLeft" activeCell="A1" sqref="A1"/>
    </sheetView>
  </sheetViews>
  <sheetFormatPr baseColWidth="8" defaultRowHeight="15"/>
  <cols>
    <col width="21" customWidth="1" min="1" max="1"/>
    <col width="9" customWidth="1" min="2" max="2"/>
    <col width="9" customWidth="1" min="3" max="3"/>
    <col width="11" customWidth="1" min="4" max="4"/>
    <col width="9" customWidth="1" min="5" max="5"/>
    <col width="18" customWidth="1" min="6" max="6"/>
    <col width="21" customWidth="1" min="7" max="7"/>
    <col width="48" customWidth="1" min="8" max="8"/>
    <col width="31" customWidth="1" min="9" max="9"/>
    <col width="10" customWidth="1" min="10" max="10"/>
    <col width="10" customWidth="1" min="11" max="11"/>
    <col width="11" customWidth="1" min="12" max="12"/>
    <col width="15" customWidth="1" min="13" max="13"/>
    <col width="12" customWidth="1" min="14" max="14"/>
    <col width="11" customWidth="1" min="15" max="15"/>
    <col width="10" customWidth="1" min="16" max="16"/>
    <col width="10" customWidth="1" min="17" max="17"/>
    <col width="10" customWidth="1" min="18" max="18"/>
    <col width="11" customWidth="1" min="19" max="19"/>
    <col width="15" customWidth="1" min="20" max="20"/>
    <col width="12" customWidth="1" min="21" max="21"/>
    <col width="11" customWidth="1" min="22" max="22"/>
    <col width="10" customWidth="1" min="23" max="23"/>
    <col width="31" customWidth="1" min="24" max="24"/>
    <col width="13" customWidth="1" min="25" max="25"/>
    <col width="14" customWidth="1" min="26" max="26"/>
    <col width="9" customWidth="1" min="27" max="27"/>
    <col width="13" customWidth="1" min="28" max="28"/>
    <col width="13" customWidth="1" min="29" max="29"/>
    <col width="11" customWidth="1" min="30" max="30"/>
    <col width="11" customWidth="1" min="31" max="31"/>
    <col width="12" customWidth="1" min="32" max="32"/>
    <col width="20" customWidth="1" min="33" max="33"/>
    <col width="11" customWidth="1" min="34" max="34"/>
    <col width="26" customWidth="1" min="35" max="35"/>
    <col width="33" customWidth="1" min="36" max="36"/>
    <col width="11" customWidth="1" min="37" max="37"/>
    <col width="46" customWidth="1" min="38" max="38"/>
    <col width="17" customWidth="1" min="39" max="39"/>
    <col width="48" customWidth="1" min="40" max="40"/>
    <col width="9" customWidth="1" min="41" max="41"/>
    <col width="17" customWidth="1" min="42" max="42"/>
    <col width="15" customWidth="1" min="43" max="43"/>
    <col width="14" customWidth="1" min="44" max="44"/>
    <col width="17" customWidth="1" min="45" max="45"/>
    <col width="27" customWidth="1" min="46" max="46"/>
    <col width="12" customWidth="1" min="47" max="47"/>
    <col width="9" customWidth="1" min="48" max="48"/>
    <col width="15" customWidth="1" min="49" max="49"/>
    <col width="22" customWidth="1" min="50" max="50"/>
    <col width="48" customWidth="1" min="51" max="51"/>
  </cols>
  <sheetData>
    <row r="1">
      <c r="A1" s="1" t="inlineStr">
        <is>
          <t>name</t>
        </is>
      </c>
      <c r="B1" s="1" t="inlineStr">
        <is>
          <t>unit_id</t>
        </is>
      </c>
      <c r="C1" s="1" t="inlineStr">
        <is>
          <t>tier</t>
        </is>
      </c>
      <c r="D1" s="1" t="inlineStr">
        <is>
          <t>cost_gold</t>
        </is>
      </c>
      <c r="E1" s="1" t="inlineStr">
        <is>
          <t>food</t>
        </is>
      </c>
      <c r="F1" s="1" t="inlineStr">
        <is>
          <t>upgrades_from</t>
        </is>
      </c>
      <c r="G1" s="1" t="inlineStr">
        <is>
          <t>upgrades_to</t>
        </is>
      </c>
      <c r="H1" s="1" t="inlineStr">
        <is>
          <t>traits</t>
        </is>
      </c>
      <c r="I1" s="1" t="inlineStr">
        <is>
          <t>targets</t>
        </is>
      </c>
      <c r="J1" s="1" t="inlineStr">
        <is>
          <t>atk1_min</t>
        </is>
      </c>
      <c r="K1" s="1" t="inlineStr">
        <is>
          <t>atk1_max</t>
        </is>
      </c>
      <c r="L1" s="1" t="inlineStr">
        <is>
          <t>atk1_mean</t>
        </is>
      </c>
      <c r="M1" s="1" t="inlineStr">
        <is>
          <t>atk1_cooldown</t>
        </is>
      </c>
      <c r="N1" s="1" t="inlineStr">
        <is>
          <t>atk1_range</t>
        </is>
      </c>
      <c r="O1" s="1" t="inlineStr">
        <is>
          <t>atk1_type</t>
        </is>
      </c>
      <c r="P1" s="1" t="inlineStr">
        <is>
          <t>atk1_dps</t>
        </is>
      </c>
      <c r="Q1" s="1" t="inlineStr">
        <is>
          <t>atk2_min</t>
        </is>
      </c>
      <c r="R1" s="1" t="inlineStr">
        <is>
          <t>atk2_max</t>
        </is>
      </c>
      <c r="S1" s="1" t="inlineStr">
        <is>
          <t>atk2_mean</t>
        </is>
      </c>
      <c r="T1" s="1" t="inlineStr">
        <is>
          <t>atk2_cooldown</t>
        </is>
      </c>
      <c r="U1" s="1" t="inlineStr">
        <is>
          <t>atk2_range</t>
        </is>
      </c>
      <c r="V1" s="1" t="inlineStr">
        <is>
          <t>atk2_type</t>
        </is>
      </c>
      <c r="W1" s="1" t="inlineStr">
        <is>
          <t>atk2_dps</t>
        </is>
      </c>
      <c r="X1" s="1" t="inlineStr">
        <is>
          <t>splash_targets</t>
        </is>
      </c>
      <c r="Y1" s="1" t="inlineStr">
        <is>
          <t>armour_type</t>
        </is>
      </c>
      <c r="Z1" s="1" t="inlineStr">
        <is>
          <t>armour_value</t>
        </is>
      </c>
      <c r="AA1" s="1" t="inlineStr">
        <is>
          <t>hp</t>
        </is>
      </c>
      <c r="AB1" s="1" t="inlineStr">
        <is>
          <t>cost_lumber</t>
        </is>
      </c>
      <c r="AC1" s="1" t="inlineStr">
        <is>
          <t>atk1_weapon</t>
        </is>
      </c>
      <c r="AD1" s="1" t="inlineStr">
        <is>
          <t>atk1_base</t>
        </is>
      </c>
      <c r="AE1" s="1" t="inlineStr">
        <is>
          <t>atk1_dice</t>
        </is>
      </c>
      <c r="AF1" s="1" t="inlineStr">
        <is>
          <t>atk1_sides</t>
        </is>
      </c>
      <c r="AG1" s="1" t="inlineStr">
        <is>
          <t>atk1_type_resolved</t>
        </is>
      </c>
      <c r="AH1" s="1" t="inlineStr">
        <is>
          <t>base_unit</t>
        </is>
      </c>
      <c r="AI1" s="1" t="inlineStr">
        <is>
          <t>abilities</t>
        </is>
      </c>
      <c r="AJ1" s="1" t="inlineStr">
        <is>
          <t>tooltip</t>
        </is>
      </c>
      <c r="AK1" s="1" t="inlineStr">
        <is>
          <t>atk2_base</t>
        </is>
      </c>
      <c r="AL1" s="1" t="inlineStr">
        <is>
          <t>sources</t>
        </is>
      </c>
      <c r="AM1" s="1" t="inlineStr">
        <is>
          <t>obs_owner_label</t>
        </is>
      </c>
      <c r="AN1" s="1" t="inlineStr">
        <is>
          <t>obs_notes</t>
        </is>
      </c>
      <c r="AO1" s="1" t="inlineStr">
        <is>
          <t>dps_raw</t>
        </is>
      </c>
      <c r="AP1" s="1" t="inlineStr">
        <is>
          <t>crit_multiplier</t>
        </is>
      </c>
      <c r="AQ1" s="1" t="inlineStr">
        <is>
          <t>dps_with_crit</t>
        </is>
      </c>
      <c r="AR1" s="1" t="inlineStr">
        <is>
          <t>dps_per_gold</t>
        </is>
      </c>
      <c r="AS1" s="1" t="inlineStr">
        <is>
          <t>coverage_vs_725</t>
        </is>
      </c>
      <c r="AT1" s="1" t="inlineStr">
        <is>
          <t>dps_per_gold_coverage_adj</t>
        </is>
      </c>
      <c r="AU1" s="1" t="inlineStr">
        <is>
          <t>on_hit_dps</t>
        </is>
      </c>
      <c r="AV1" s="1" t="inlineStr">
        <is>
          <t>dot_dps</t>
        </is>
      </c>
      <c r="AW1" s="1" t="inlineStr">
        <is>
          <t>dps_total_est</t>
        </is>
      </c>
      <c r="AX1" s="1" t="inlineStr">
        <is>
          <t>dps_per_gold_x_range</t>
        </is>
      </c>
      <c r="AY1" s="1" t="inlineStr">
        <is>
          <t>dps_source</t>
        </is>
      </c>
    </row>
    <row r="2">
      <c r="A2" t="inlineStr">
        <is>
          <t>Machination</t>
        </is>
      </c>
      <c r="B2" t="inlineStr">
        <is>
          <t>h003</t>
        </is>
      </c>
      <c r="C2" t="n">
        <v>1</v>
      </c>
      <c r="D2" t="n">
        <v>15</v>
      </c>
      <c r="E2" t="n">
        <v>0</v>
      </c>
      <c r="G2" t="inlineStr">
        <is>
          <t>Shrapnel Shooter</t>
        </is>
      </c>
      <c r="H2" t="inlineStr">
        <is>
          <t>Fortitude (A047); Vindicator I (A02Y); Weak Ground Splash (A01V)</t>
        </is>
      </c>
      <c r="I2" t="inlineStr">
        <is>
          <t>air,enemies,ground,nonancient</t>
        </is>
      </c>
      <c r="J2" t="n">
        <v>19</v>
      </c>
      <c r="K2" t="n">
        <v>19</v>
      </c>
      <c r="L2" t="n">
        <v>19</v>
      </c>
      <c r="M2" t="n">
        <v>0.75</v>
      </c>
      <c r="N2" t="n">
        <v>725</v>
      </c>
      <c r="O2" t="inlineStr">
        <is>
          <t>siege</t>
        </is>
      </c>
      <c r="P2" t="n">
        <v>25.3</v>
      </c>
      <c r="X2" t="inlineStr">
        <is>
          <t>enemies,ground,nonancient</t>
        </is>
      </c>
      <c r="Z2" t="n">
        <v>8</v>
      </c>
      <c r="AA2" t="n">
        <v>1750</v>
      </c>
      <c r="AB2" t="n">
        <v>0</v>
      </c>
      <c r="AC2" t="inlineStr">
        <is>
          <t>msplash</t>
        </is>
      </c>
      <c r="AD2" t="n">
        <v>18</v>
      </c>
      <c r="AE2" t="n">
        <v>1</v>
      </c>
      <c r="AF2" t="n">
        <v>1</v>
      </c>
      <c r="AG2" t="inlineStr">
        <is>
          <t>siege</t>
        </is>
      </c>
      <c r="AH2" t="inlineStr">
        <is>
          <t>hhou</t>
        </is>
      </c>
      <c r="AI2" t="inlineStr">
        <is>
          <t>A047,A02Y,A028,A01V</t>
        </is>
      </c>
      <c r="AJ2" t="inlineStr">
        <is>
          <t>Build Machination ( Q )</t>
        </is>
      </c>
      <c r="AM2" t="inlineStr">
        <is>
          <t>D1</t>
        </is>
      </c>
      <c r="AN2" t="inlineStr">
        <is>
          <t>SIEGE attack type (owner 2026-09-06): 160% vs Fortified (waves 3/8/13/18), 85% vs Hero (boss waves), 100% vs Heavy. Starter. Its UPGRADE is what unlocks T3 and T4.</t>
        </is>
      </c>
      <c r="AO2" t="n">
        <v>25.3</v>
      </c>
      <c r="AP2" t="n">
        <v>2.25</v>
      </c>
      <c r="AQ2">
        <f>AO2*AP2</f>
        <v/>
      </c>
      <c r="AR2">
        <f>IF(D2=0,"",AW2/D2)</f>
        <v/>
      </c>
      <c r="AS2">
        <f>(N2/725)^2</f>
        <v/>
      </c>
      <c r="AT2">
        <f>IF(D2=0,"",AR2*AS2)</f>
        <v/>
      </c>
      <c r="AW2">
        <f>AQ2+N(AU2)+N(AV2)</f>
        <v/>
      </c>
      <c r="AX2">
        <f>IF(D2=0,"",AR2*(N2/725))</f>
        <v/>
      </c>
      <c r="AY2" t="inlineStr">
        <is>
          <t>basic attack</t>
        </is>
      </c>
    </row>
    <row r="3">
      <c r="A3" t="inlineStr">
        <is>
          <t>Shrapnel Shooter</t>
        </is>
      </c>
      <c r="B3" t="inlineStr">
        <is>
          <t>h00G</t>
        </is>
      </c>
      <c r="C3" t="n">
        <v>2</v>
      </c>
      <c r="D3" t="n">
        <v>40</v>
      </c>
      <c r="E3" t="n">
        <v>0</v>
      </c>
      <c r="F3" t="inlineStr">
        <is>
          <t>Machination</t>
        </is>
      </c>
      <c r="H3" t="inlineStr">
        <is>
          <t>Fortitude (A047); Ground Splash (A01W)</t>
        </is>
      </c>
      <c r="I3" t="inlineStr">
        <is>
          <t>air,enemies,ground,nonancient</t>
        </is>
      </c>
      <c r="J3" t="n">
        <v>58</v>
      </c>
      <c r="K3" t="n">
        <v>58</v>
      </c>
      <c r="L3" t="n">
        <v>58</v>
      </c>
      <c r="M3" t="n">
        <v>0.55</v>
      </c>
      <c r="N3" t="n">
        <v>700</v>
      </c>
      <c r="O3" t="inlineStr">
        <is>
          <t>siege</t>
        </is>
      </c>
      <c r="P3" t="n">
        <v>105.5</v>
      </c>
      <c r="X3" t="inlineStr">
        <is>
          <t>enemies,ground,nonancient</t>
        </is>
      </c>
      <c r="Z3" t="n">
        <v>8</v>
      </c>
      <c r="AA3" t="n">
        <v>2000</v>
      </c>
      <c r="AB3" t="n">
        <v>0</v>
      </c>
      <c r="AC3" t="inlineStr">
        <is>
          <t>msplash</t>
        </is>
      </c>
      <c r="AD3" t="n">
        <v>57</v>
      </c>
      <c r="AE3" t="n">
        <v>1</v>
      </c>
      <c r="AF3" t="n">
        <v>1</v>
      </c>
      <c r="AG3" t="inlineStr">
        <is>
          <t>siege</t>
        </is>
      </c>
      <c r="AH3" t="inlineStr">
        <is>
          <t>hhou</t>
        </is>
      </c>
      <c r="AI3" t="inlineStr">
        <is>
          <t>A047,A028,A01W</t>
        </is>
      </c>
      <c r="AJ3" t="inlineStr">
        <is>
          <t>U pgrade to Shrapnel Shooter</t>
        </is>
      </c>
      <c r="AM3" t="inlineStr">
        <is>
          <t>D1</t>
        </is>
      </c>
      <c r="AN3" t="inlineStr">
        <is>
          <t>SIEGE attack type (owner 2026-09-06): 160% vs Fortified (waves 3/8/13/18), 85% vs Hero (boss waves), 100% vs Heavy. NO CRIT (owner-confirmed 2026-09-06) - only ground splash and Fortitude. Its 4.00 was previously flagged as a floor pending unknown crit values; there are none, so the figure stands as final. Unlocks BOTH Kill Crank and Spike Shooter.</t>
        </is>
      </c>
      <c r="AO3" t="n">
        <v>105.5</v>
      </c>
      <c r="AP3" t="n">
        <v>1</v>
      </c>
      <c r="AQ3">
        <f>AO3*AP3</f>
        <v/>
      </c>
      <c r="AR3">
        <f>IF(D3=0,"",AW3/D3)</f>
        <v/>
      </c>
      <c r="AS3">
        <f>(N3/725)^2</f>
        <v/>
      </c>
      <c r="AT3">
        <f>IF(D3=0,"",AR3*AS3)</f>
        <v/>
      </c>
      <c r="AW3">
        <f>AQ3+N(AU3)+N(AV3)</f>
        <v/>
      </c>
      <c r="AX3">
        <f>IF(D3=0,"",AR3*(N3/725))</f>
        <v/>
      </c>
      <c r="AY3" t="inlineStr">
        <is>
          <t>basic attack</t>
        </is>
      </c>
    </row>
    <row r="4">
      <c r="A4" t="inlineStr">
        <is>
          <t>Spike Shooter</t>
        </is>
      </c>
      <c r="B4" t="inlineStr">
        <is>
          <t>h025</t>
        </is>
      </c>
      <c r="C4" t="n">
        <v>1</v>
      </c>
      <c r="D4" t="n">
        <v>100</v>
      </c>
      <c r="E4" t="n">
        <v>0</v>
      </c>
      <c r="G4" t="inlineStr">
        <is>
          <t>Gigas Spike</t>
        </is>
      </c>
      <c r="H4" t="inlineStr">
        <is>
          <t>Boss Assassin I (A03D); Ground Splash (A01W)</t>
        </is>
      </c>
      <c r="I4" t="inlineStr">
        <is>
          <t>air,enemies,ground,nonancient</t>
        </is>
      </c>
      <c r="J4" t="n">
        <v>111</v>
      </c>
      <c r="K4" t="n">
        <v>111</v>
      </c>
      <c r="L4" t="n">
        <v>111</v>
      </c>
      <c r="M4" t="n">
        <v>0.45</v>
      </c>
      <c r="N4" t="n">
        <v>600</v>
      </c>
      <c r="O4" t="inlineStr">
        <is>
          <t>chaos</t>
        </is>
      </c>
      <c r="P4" t="n">
        <v>246.7</v>
      </c>
      <c r="X4" t="inlineStr">
        <is>
          <t>enemies,ground,nonancient</t>
        </is>
      </c>
      <c r="AA4" t="n">
        <v>1500</v>
      </c>
      <c r="AB4" t="n">
        <v>0</v>
      </c>
      <c r="AC4" t="inlineStr">
        <is>
          <t>msplash</t>
        </is>
      </c>
      <c r="AD4" t="n">
        <v>110</v>
      </c>
      <c r="AE4" t="n">
        <v>1</v>
      </c>
      <c r="AF4" t="n">
        <v>1</v>
      </c>
      <c r="AG4" t="inlineStr">
        <is>
          <t>chaos</t>
        </is>
      </c>
      <c r="AH4" t="inlineStr">
        <is>
          <t>hhou</t>
        </is>
      </c>
      <c r="AI4" t="inlineStr">
        <is>
          <t>A03D,A028,A01W</t>
        </is>
      </c>
      <c r="AJ4" t="inlineStr">
        <is>
          <t>Build Spike Shooter ( W )</t>
        </is>
      </c>
      <c r="AM4" t="inlineStr">
        <is>
          <t>D4</t>
        </is>
      </c>
      <c r="AN4" t="inlineStr">
        <is>
          <t xml:space="preserve">CHAOS attack type (owner 2026-09-06) - the kit's only one. In stock WC3 chaos deals 100% to every armour type, i.e. it ignores the matrix; UNVERIFIED for this map. If true it is the treant's only matrix-proof tower. RESOLVED 2026-09-05: the trait is named "Boss Assassin" but TARGETS HEROES - the owner read "boss assassin II (50% x8 against heroes)" on a Royal Family tower. So the earlier boss-vs-hero ambiguity was the GAME conflating them, not a transcription slip. Both readings were right. Anti-boss specialist. Low RAW dmg/gold (1.11) - the crit is what pays for it. </t>
        </is>
      </c>
      <c r="AO4" t="n">
        <v>246.7</v>
      </c>
      <c r="AP4" t="n">
        <v>1</v>
      </c>
      <c r="AQ4">
        <f>AO4*AP4</f>
        <v/>
      </c>
      <c r="AR4">
        <f>IF(D4=0,"",AW4/D4)</f>
        <v/>
      </c>
      <c r="AS4">
        <f>(N4/725)^2</f>
        <v/>
      </c>
      <c r="AT4">
        <f>IF(D4=0,"",AR4*AS4)</f>
        <v/>
      </c>
      <c r="AW4">
        <f>AQ4+N(AU4)+N(AV4)</f>
        <v/>
      </c>
      <c r="AX4">
        <f>IF(D4=0,"",AR4*(N4/725))</f>
        <v/>
      </c>
      <c r="AY4" t="inlineStr">
        <is>
          <t>basic attack</t>
        </is>
      </c>
    </row>
    <row r="5">
      <c r="A5" t="inlineStr">
        <is>
          <t>Gigas Spike</t>
        </is>
      </c>
      <c r="B5" t="inlineStr">
        <is>
          <t>h00Y</t>
        </is>
      </c>
      <c r="C5" t="n">
        <v>2</v>
      </c>
      <c r="D5" t="n">
        <v>200</v>
      </c>
      <c r="E5" t="n">
        <v>0</v>
      </c>
      <c r="F5" t="inlineStr">
        <is>
          <t>Spike Shooter</t>
        </is>
      </c>
      <c r="H5" t="inlineStr">
        <is>
          <t>Boss Assassin I (A03D); Uber Ground Splash (A01X)</t>
        </is>
      </c>
      <c r="I5" t="inlineStr">
        <is>
          <t>air,enemies,ground,nonancient</t>
        </is>
      </c>
      <c r="J5" t="n">
        <v>215</v>
      </c>
      <c r="K5" t="n">
        <v>215</v>
      </c>
      <c r="L5" t="n">
        <v>215</v>
      </c>
      <c r="M5" t="n">
        <v>0.45</v>
      </c>
      <c r="N5" t="n">
        <v>900</v>
      </c>
      <c r="O5" t="inlineStr">
        <is>
          <t>siege</t>
        </is>
      </c>
      <c r="P5" t="n">
        <v>477.8</v>
      </c>
      <c r="X5" t="inlineStr">
        <is>
          <t>enemies,ground,nonancient</t>
        </is>
      </c>
      <c r="AA5" t="n">
        <v>1750</v>
      </c>
      <c r="AB5" t="n">
        <v>0</v>
      </c>
      <c r="AC5" t="inlineStr">
        <is>
          <t>msplash</t>
        </is>
      </c>
      <c r="AD5" t="n">
        <v>214</v>
      </c>
      <c r="AE5" t="n">
        <v>1</v>
      </c>
      <c r="AF5" t="n">
        <v>1</v>
      </c>
      <c r="AG5" t="inlineStr">
        <is>
          <t>siege</t>
        </is>
      </c>
      <c r="AH5" t="inlineStr">
        <is>
          <t>hhou</t>
        </is>
      </c>
      <c r="AI5" t="inlineStr">
        <is>
          <t>A03D,A028,A01X</t>
        </is>
      </c>
      <c r="AJ5" t="inlineStr">
        <is>
          <t>U pgrade to Gigas Spike</t>
        </is>
      </c>
      <c r="AO5" t="n">
        <v>477.8</v>
      </c>
      <c r="AP5" t="n">
        <v>1</v>
      </c>
      <c r="AQ5">
        <f>AO5*AP5</f>
        <v/>
      </c>
      <c r="AR5">
        <f>IF(D5=0,"",AW5/D5)</f>
        <v/>
      </c>
      <c r="AS5">
        <f>(N5/725)^2</f>
        <v/>
      </c>
      <c r="AT5">
        <f>IF(D5=0,"",AR5*AS5)</f>
        <v/>
      </c>
      <c r="AW5">
        <f>AQ5+N(AU5)+N(AV5)</f>
        <v/>
      </c>
      <c r="AX5">
        <f>IF(D5=0,"",AR5*(N5/725))</f>
        <v/>
      </c>
      <c r="AY5" t="inlineStr">
        <is>
          <t>basic attack</t>
        </is>
      </c>
    </row>
    <row r="6">
      <c r="A6" t="inlineStr">
        <is>
          <t>Kill Crank</t>
        </is>
      </c>
      <c r="B6" t="inlineStr">
        <is>
          <t>h00Z</t>
        </is>
      </c>
      <c r="C6" t="n">
        <v>1</v>
      </c>
      <c r="D6" t="n">
        <v>115</v>
      </c>
      <c r="E6" t="n">
        <v>0</v>
      </c>
      <c r="G6" t="inlineStr">
        <is>
          <t>Massacre Machine</t>
        </is>
      </c>
      <c r="H6" t="inlineStr">
        <is>
          <t>Ground Critical Strike I (A003); Slow Poison I (Aspo)</t>
        </is>
      </c>
      <c r="I6" t="inlineStr">
        <is>
          <t>air,enemies,ground,nonancient</t>
        </is>
      </c>
      <c r="J6" t="n">
        <v>343</v>
      </c>
      <c r="K6" t="n">
        <v>348</v>
      </c>
      <c r="L6" t="n">
        <v>345.5</v>
      </c>
      <c r="M6" t="n">
        <v>0.6</v>
      </c>
      <c r="N6" t="n">
        <v>350</v>
      </c>
      <c r="O6" t="inlineStr">
        <is>
          <t>siege</t>
        </is>
      </c>
      <c r="P6" t="n">
        <v>575.8</v>
      </c>
      <c r="AA6" t="n">
        <v>1500</v>
      </c>
      <c r="AB6" t="n">
        <v>0</v>
      </c>
      <c r="AC6" t="inlineStr">
        <is>
          <t>missile</t>
        </is>
      </c>
      <c r="AD6" t="n">
        <v>342</v>
      </c>
      <c r="AE6" t="n">
        <v>1</v>
      </c>
      <c r="AF6" t="n">
        <v>6</v>
      </c>
      <c r="AG6" t="inlineStr">
        <is>
          <t>siege</t>
        </is>
      </c>
      <c r="AH6" t="inlineStr">
        <is>
          <t>hhou</t>
        </is>
      </c>
      <c r="AI6" t="inlineStr">
        <is>
          <t>A028,A003,Aspo</t>
        </is>
      </c>
      <c r="AJ6" t="inlineStr">
        <is>
          <t>Build Kill Crank ( E )</t>
        </is>
      </c>
      <c r="AM6" t="inlineStr">
        <is>
          <t>D3</t>
        </is>
      </c>
      <c r="AN6" t="inlineStr">
        <is>
          <t>RESOLVED 2026-09-06: its crit is vs GROUND, not vs all, and it carries Slow Poison I. 35% x2 vs ground is GROUND CRITICAL STRIKE I, the same named tier as Little Jack, Phlogiston, Stone Experiment, Stealth Maiden and Loki. The 4.14-5.59 span this row carried collapses to 5.59 vs ground (4.14 vs air, 8.95 on Fortified where siege is 160%). The long-running vs-ALL crit dispute is settled for THIS tower.</t>
        </is>
      </c>
      <c r="AO6" t="n">
        <v>575.8</v>
      </c>
      <c r="AP6" t="n">
        <v>1.35</v>
      </c>
      <c r="AQ6">
        <f>AO6*AP6</f>
        <v/>
      </c>
      <c r="AR6">
        <f>IF(D6=0,"",AW6/D6)</f>
        <v/>
      </c>
      <c r="AS6">
        <f>(N6/725)^2</f>
        <v/>
      </c>
      <c r="AT6">
        <f>IF(D6=0,"",AR6*AS6)</f>
        <v/>
      </c>
      <c r="AV6" t="n">
        <v>4</v>
      </c>
      <c r="AW6">
        <f>AQ6+N(AU6)+N(AV6)</f>
        <v/>
      </c>
      <c r="AX6">
        <f>IF(D6=0,"",AR6*(N6/725))</f>
        <v/>
      </c>
      <c r="AY6" t="inlineStr">
        <is>
          <t>basic attack</t>
        </is>
      </c>
    </row>
    <row r="7">
      <c r="A7" t="inlineStr">
        <is>
          <t>Massacre Machine</t>
        </is>
      </c>
      <c r="B7" t="inlineStr">
        <is>
          <t>h010</t>
        </is>
      </c>
      <c r="C7" t="n">
        <v>2</v>
      </c>
      <c r="D7" t="n">
        <v>205</v>
      </c>
      <c r="E7" t="n">
        <v>0</v>
      </c>
      <c r="F7" t="inlineStr">
        <is>
          <t>Kill Crank</t>
        </is>
      </c>
      <c r="H7" t="inlineStr">
        <is>
          <t>Versatile Critical Strike I (A004); Slow Poison I (Aspo)</t>
        </is>
      </c>
      <c r="I7" t="inlineStr">
        <is>
          <t>air,enemies,ground,nonancient</t>
        </is>
      </c>
      <c r="J7" t="n">
        <v>321</v>
      </c>
      <c r="K7" t="n">
        <v>329</v>
      </c>
      <c r="L7" t="n">
        <v>325</v>
      </c>
      <c r="M7" t="n">
        <v>0.4</v>
      </c>
      <c r="N7" t="n">
        <v>600</v>
      </c>
      <c r="O7" t="inlineStr">
        <is>
          <t>siege</t>
        </is>
      </c>
      <c r="P7" t="n">
        <v>812.5</v>
      </c>
      <c r="AA7" t="n">
        <v>1750</v>
      </c>
      <c r="AB7" t="n">
        <v>0</v>
      </c>
      <c r="AC7" t="inlineStr">
        <is>
          <t>missile</t>
        </is>
      </c>
      <c r="AD7" t="n">
        <v>320</v>
      </c>
      <c r="AE7" t="n">
        <v>1</v>
      </c>
      <c r="AF7" t="n">
        <v>9</v>
      </c>
      <c r="AG7" t="inlineStr">
        <is>
          <t>siege</t>
        </is>
      </c>
      <c r="AH7" t="inlineStr">
        <is>
          <t>hhou</t>
        </is>
      </c>
      <c r="AI7" t="inlineStr">
        <is>
          <t>A028,A004,Aspo</t>
        </is>
      </c>
      <c r="AJ7" t="inlineStr">
        <is>
          <t>U pgrade to Massacre Machine</t>
        </is>
      </c>
      <c r="AM7" t="inlineStr">
        <is>
          <t>D3</t>
        </is>
      </c>
      <c r="AN7" t="inlineStr">
        <is>
          <t>DISPUTE RESOLVED 2026-09-06: the vs-ALL crit is THIS tower's, and it is Versatile Critical Strike I - the same named tier as the Royal Family's Captain Bartlebee and Delphinus. The upgrade from Kill Crank is a crit SWAP: Ground Critical Strike I (35% x2 vs ground) becomes Versatile I (35% x2.5 vs ALL), so the expected multiplier goes 1.35 -&gt; 1.525 vs ground and 1.00 -&gt; 1.525 vs AIR. Slow Poison I carries over. THE TREANT'S ONLY UNTYPED CRIT: the kit is 9/15 siege with no air bonus and every other crit is target-restricted, so this is the one tower whose crit fires on every wave. That reframes the Kill Crank line as not just the Fortified line but the only one ending in wave-agnostic damage. 5.72 range-adjusted, and because Versatile is untyped that figure applies on EVERY wave rather than on a schedule - which is why it ranks higher in practice than its nominal position suggests. Against its base Kill Crank it carries LOWER damage (325 vs 345) but nearly DOUBLE the range (600 vs 350): the range is where the upgrade lives. ATTACK TYPE still unread; if siege like its base, 9.15 on Fortified and 4.86 on boss waves.</t>
        </is>
      </c>
      <c r="AO7" t="n">
        <v>812.5</v>
      </c>
      <c r="AP7" t="n">
        <v>1.52</v>
      </c>
      <c r="AQ7">
        <f>AO7*AP7</f>
        <v/>
      </c>
      <c r="AR7">
        <f>IF(D7=0,"",AW7/D7)</f>
        <v/>
      </c>
      <c r="AS7">
        <f>(N7/725)^2</f>
        <v/>
      </c>
      <c r="AT7">
        <f>IF(D7=0,"",AR7*AS7)</f>
        <v/>
      </c>
      <c r="AV7" t="n">
        <v>4</v>
      </c>
      <c r="AW7">
        <f>AQ7+N(AU7)+N(AV7)</f>
        <v/>
      </c>
      <c r="AX7">
        <f>IF(D7=0,"",AR7*(N7/725))</f>
        <v/>
      </c>
      <c r="AY7" t="inlineStr">
        <is>
          <t>basic attack</t>
        </is>
      </c>
    </row>
    <row r="8">
      <c r="A8" t="inlineStr">
        <is>
          <t>Phlogiston</t>
        </is>
      </c>
      <c r="B8" t="inlineStr">
        <is>
          <t>h011</t>
        </is>
      </c>
      <c r="C8" t="n">
        <v>1</v>
      </c>
      <c r="D8" t="n">
        <v>360</v>
      </c>
      <c r="E8" t="n">
        <v>0</v>
      </c>
      <c r="H8" t="inlineStr">
        <is>
          <t>Ground Splash (A01W); Ground Critical Strike I (A003)</t>
        </is>
      </c>
      <c r="I8" t="inlineStr">
        <is>
          <t>air,enemies,ground,nonancient</t>
        </is>
      </c>
      <c r="J8" t="n">
        <v>502</v>
      </c>
      <c r="K8" t="n">
        <v>502</v>
      </c>
      <c r="L8" t="n">
        <v>502</v>
      </c>
      <c r="M8" t="n">
        <v>0.45</v>
      </c>
      <c r="N8" t="n">
        <v>800</v>
      </c>
      <c r="P8" t="n">
        <v>1115.6</v>
      </c>
      <c r="X8" t="inlineStr">
        <is>
          <t>enemies,ground,nonancient</t>
        </is>
      </c>
      <c r="AA8" t="n">
        <v>2250</v>
      </c>
      <c r="AB8" t="n">
        <v>0</v>
      </c>
      <c r="AC8" t="inlineStr">
        <is>
          <t>msplash</t>
        </is>
      </c>
      <c r="AD8" t="n">
        <v>501</v>
      </c>
      <c r="AE8" t="n">
        <v>1</v>
      </c>
      <c r="AF8" t="n">
        <v>1</v>
      </c>
      <c r="AG8" t="inlineStr">
        <is>
          <t>normal</t>
        </is>
      </c>
      <c r="AH8" t="inlineStr">
        <is>
          <t>hhou</t>
        </is>
      </c>
      <c r="AI8" t="inlineStr">
        <is>
          <t>A01W,A028,A003</t>
        </is>
      </c>
      <c r="AJ8" t="inlineStr">
        <is>
          <t>Build Phlogiston ( R )</t>
        </is>
      </c>
      <c r="AM8" t="inlineStr">
        <is>
          <t>D7</t>
        </is>
      </c>
      <c r="AN8" t="inlineStr">
        <is>
          <t>NORMAL attack type (owner 2026-09-06): 125% vs Medium, 100% Heavy, 75% Fortified, 95% Hero. TERMINAL - no upgrade; the end of the T3+T4 convergent line, reached at 1035g cumulative. Ranks POORLY on single-target gold efficiency (5.66 range-adjusted vs Little Jack's 8.74 at 195g): 85% dearer for 20% more damage. Its value is GROUND SPLASH, which these columns do not model - against 60-unit waves that is plausibly worth several times its single-target rating. Do not read its low rank as weak.</t>
        </is>
      </c>
      <c r="AO8" t="n">
        <v>1115.6</v>
      </c>
      <c r="AP8" t="n">
        <v>1.35</v>
      </c>
      <c r="AQ8">
        <f>AO8*AP8</f>
        <v/>
      </c>
      <c r="AR8">
        <f>IF(D8=0,"",AW8/D8)</f>
        <v/>
      </c>
      <c r="AS8">
        <f>(N8/725)^2</f>
        <v/>
      </c>
      <c r="AT8">
        <f>IF(D8=0,"",AR8*AS8)</f>
        <v/>
      </c>
      <c r="AW8">
        <f>AQ8+N(AU8)+N(AV8)</f>
        <v/>
      </c>
      <c r="AX8">
        <f>IF(D8=0,"",AR8*(N8/725))</f>
        <v/>
      </c>
      <c r="AY8" t="inlineStr">
        <is>
          <t>basic attack</t>
        </is>
      </c>
    </row>
    <row r="9">
      <c r="A9" t="inlineStr">
        <is>
          <t>Sewer Barge</t>
        </is>
      </c>
      <c r="B9" t="inlineStr">
        <is>
          <t>h012</t>
        </is>
      </c>
      <c r="C9" t="n">
        <v>1</v>
      </c>
      <c r="D9" t="n">
        <v>40</v>
      </c>
      <c r="E9" t="n">
        <v>0</v>
      </c>
      <c r="H9" t="inlineStr">
        <is>
          <t>Machine Critical Strike (A03Y)</t>
        </is>
      </c>
      <c r="I9" t="inlineStr">
        <is>
          <t>air,enemies,ground,nonancient</t>
        </is>
      </c>
      <c r="J9" t="n">
        <v>103</v>
      </c>
      <c r="K9" t="n">
        <v>103</v>
      </c>
      <c r="L9" t="n">
        <v>103</v>
      </c>
      <c r="M9" t="n">
        <v>1.05</v>
      </c>
      <c r="N9" t="n">
        <v>800</v>
      </c>
      <c r="O9" t="inlineStr">
        <is>
          <t>siege</t>
        </is>
      </c>
      <c r="P9" t="n">
        <v>98.09999999999999</v>
      </c>
      <c r="Z9" t="n">
        <v>6</v>
      </c>
      <c r="AA9" t="n">
        <v>1250</v>
      </c>
      <c r="AB9" t="n">
        <v>0</v>
      </c>
      <c r="AC9" t="inlineStr">
        <is>
          <t>missile</t>
        </is>
      </c>
      <c r="AD9" t="n">
        <v>102</v>
      </c>
      <c r="AE9" t="n">
        <v>1</v>
      </c>
      <c r="AF9" t="n">
        <v>1</v>
      </c>
      <c r="AG9" t="inlineStr">
        <is>
          <t>siege</t>
        </is>
      </c>
      <c r="AH9" t="inlineStr">
        <is>
          <t>hhou</t>
        </is>
      </c>
      <c r="AI9" t="inlineStr">
        <is>
          <t>A03Y,A028</t>
        </is>
      </c>
      <c r="AJ9" t="inlineStr">
        <is>
          <t>Build Sewer Barge ( A )</t>
        </is>
      </c>
      <c r="AM9" t="inlineStr">
        <is>
          <t>D2</t>
        </is>
      </c>
      <c r="AN9" t="inlineStr">
        <is>
          <t>SIEGE (owner 2026-09-06): 160% vs Fortified, 8.10 there against its nominal 5.06. Note its upgrade Sewage Surprise is MAGIC, so upgrading CHANGES the matchup profile - see that row. Starter. Its two upgrade branches are the run-defining fork.</t>
        </is>
      </c>
      <c r="AO9" t="n">
        <v>98.09999999999999</v>
      </c>
      <c r="AP9" t="n">
        <v>1.8</v>
      </c>
      <c r="AQ9">
        <f>AO9*AP9</f>
        <v/>
      </c>
      <c r="AR9">
        <f>IF(D9=0,"",AW9/D9)</f>
        <v/>
      </c>
      <c r="AS9">
        <f>(N9/725)^2</f>
        <v/>
      </c>
      <c r="AT9">
        <f>IF(D9=0,"",AR9*AS9)</f>
        <v/>
      </c>
      <c r="AW9">
        <f>AQ9+N(AU9)+N(AV9)</f>
        <v/>
      </c>
      <c r="AX9">
        <f>IF(D9=0,"",AR9*(N9/725))</f>
        <v/>
      </c>
      <c r="AY9" t="inlineStr">
        <is>
          <t>basic attack</t>
        </is>
      </c>
    </row>
    <row r="10">
      <c r="A10" t="inlineStr">
        <is>
          <t>Interceptor</t>
        </is>
      </c>
      <c r="B10" t="inlineStr">
        <is>
          <t>h014</t>
        </is>
      </c>
      <c r="C10" t="n">
        <v>1</v>
      </c>
      <c r="D10" t="n">
        <v>155</v>
      </c>
      <c r="E10" t="n">
        <v>0</v>
      </c>
      <c r="G10" t="inlineStr">
        <is>
          <t>Arcadia</t>
        </is>
      </c>
      <c r="H10" t="inlineStr">
        <is>
          <t>Splash (A021); Air Critical Strike I (A005)</t>
        </is>
      </c>
      <c r="I10" t="inlineStr">
        <is>
          <t>air,enemies,ground,nonancient</t>
        </is>
      </c>
      <c r="J10" t="n">
        <v>151</v>
      </c>
      <c r="K10" t="n">
        <v>155</v>
      </c>
      <c r="L10" t="n">
        <v>153</v>
      </c>
      <c r="M10" t="n">
        <v>0.6</v>
      </c>
      <c r="N10" t="n">
        <v>900</v>
      </c>
      <c r="O10" t="inlineStr">
        <is>
          <t>magic</t>
        </is>
      </c>
      <c r="P10" t="n">
        <v>255</v>
      </c>
      <c r="X10" t="inlineStr">
        <is>
          <t>air,enemies,ground,nonancient</t>
        </is>
      </c>
      <c r="Z10" t="n">
        <v>6</v>
      </c>
      <c r="AA10" t="n">
        <v>1500</v>
      </c>
      <c r="AB10" t="n">
        <v>0</v>
      </c>
      <c r="AC10" t="inlineStr">
        <is>
          <t>msplash</t>
        </is>
      </c>
      <c r="AD10" t="n">
        <v>150</v>
      </c>
      <c r="AE10" t="n">
        <v>1</v>
      </c>
      <c r="AF10" t="n">
        <v>5</v>
      </c>
      <c r="AG10" t="inlineStr">
        <is>
          <t>magic</t>
        </is>
      </c>
      <c r="AH10" t="inlineStr">
        <is>
          <t>hhou</t>
        </is>
      </c>
      <c r="AI10" t="inlineStr">
        <is>
          <t>A028,A021,A005</t>
        </is>
      </c>
      <c r="AJ10" t="inlineStr">
        <is>
          <t>Build Interceptor ( S )</t>
        </is>
      </c>
      <c r="AM10" t="inlineStr">
        <is>
          <t>D5</t>
        </is>
      </c>
      <c r="AN10" t="inlineStr">
        <is>
          <t>MAGIC (owner 2026-09-06) - so the air line is built on the right type: magic is 140% vs Light, which the cycle puts on every air wave. 3.66 nominal becomes 5.12 on air waves. Base cost 155g inferred from the owner naming 'Interceptor' at 155g - the only unfilled base cost in the kit, and an anti-air name fits its 50% x1.5 vs air. Weak on its own; it is the GATE to its upgrade, the kit's strongest tower.</t>
        </is>
      </c>
      <c r="AO10" t="n">
        <v>255</v>
      </c>
      <c r="AP10" t="n">
        <v>1.25</v>
      </c>
      <c r="AQ10">
        <f>AO10*AP10</f>
        <v/>
      </c>
      <c r="AR10">
        <f>IF(D10=0,"",AW10/D10)</f>
        <v/>
      </c>
      <c r="AS10">
        <f>(N10/725)^2</f>
        <v/>
      </c>
      <c r="AT10">
        <f>IF(D10=0,"",AR10*AS10)</f>
        <v/>
      </c>
      <c r="AW10">
        <f>AQ10+N(AU10)+N(AV10)</f>
        <v/>
      </c>
      <c r="AX10">
        <f>IF(D10=0,"",AR10*(N10/725))</f>
        <v/>
      </c>
      <c r="AY10" t="inlineStr">
        <is>
          <t>basic attack</t>
        </is>
      </c>
    </row>
    <row r="11">
      <c r="A11" t="inlineStr">
        <is>
          <t>Arcadia</t>
        </is>
      </c>
      <c r="B11" t="inlineStr">
        <is>
          <t>h013</t>
        </is>
      </c>
      <c r="C11" t="n">
        <v>2</v>
      </c>
      <c r="D11" t="n">
        <v>250</v>
      </c>
      <c r="E11" t="n">
        <v>0</v>
      </c>
      <c r="F11" t="inlineStr">
        <is>
          <t>Interceptor</t>
        </is>
      </c>
      <c r="H11" t="inlineStr">
        <is>
          <t>Fortitude (A047); Vindicator II (A03C); Uber Splash (A022); Air Critical Strike I (A005)</t>
        </is>
      </c>
      <c r="I11" t="inlineStr">
        <is>
          <t>air,enemies,ground,nonancient</t>
        </is>
      </c>
      <c r="J11" t="n">
        <v>825</v>
      </c>
      <c r="K11" t="n">
        <v>825</v>
      </c>
      <c r="L11" t="n">
        <v>825</v>
      </c>
      <c r="M11" t="n">
        <v>1.5</v>
      </c>
      <c r="N11" t="n">
        <v>900</v>
      </c>
      <c r="O11" t="inlineStr">
        <is>
          <t>magic</t>
        </is>
      </c>
      <c r="P11" t="n">
        <v>550</v>
      </c>
      <c r="X11" t="inlineStr">
        <is>
          <t>air,enemies,ground,nonancient</t>
        </is>
      </c>
      <c r="Z11" t="n">
        <v>9</v>
      </c>
      <c r="AA11" t="n">
        <v>2500</v>
      </c>
      <c r="AB11" t="n">
        <v>0</v>
      </c>
      <c r="AC11" t="inlineStr">
        <is>
          <t>msplash</t>
        </is>
      </c>
      <c r="AD11" t="n">
        <v>824</v>
      </c>
      <c r="AE11" t="n">
        <v>1</v>
      </c>
      <c r="AF11" t="n">
        <v>1</v>
      </c>
      <c r="AG11" t="inlineStr">
        <is>
          <t>magic</t>
        </is>
      </c>
      <c r="AH11" t="inlineStr">
        <is>
          <t>hhou</t>
        </is>
      </c>
      <c r="AI11" t="inlineStr">
        <is>
          <t>A047,A03C,A028,A022,A005</t>
        </is>
      </c>
      <c r="AJ11" t="inlineStr">
        <is>
          <t>U pgrade to Arcadia</t>
        </is>
      </c>
      <c r="AM11" t="inlineStr">
        <is>
          <t>D5</t>
        </is>
      </c>
      <c r="AN11" t="inlineStr">
        <is>
          <t>MAGIC (owner 2026-09-06) - so the ENTIRE air branch is magic (Sewage Surprise, Interceptor, Arcadia), converted from the siege base. On AIR waves its 8.53 becomes 11.94 (Light, magic 140%). BUT its headline 23.90 vs attacking overstates the real case: attacker waves are 23, 32, 38, 45, and 23/38 are FORTIFIED where magic is 75%, giving 17.93 there. Only wave 32 (Heavy, 110%) reads above nominal at 26.29. VINDICATOR II IDENTIFIED 2026-09-05: the Royal Family High Priest names "vindicator II (50% crit x6 against attacking units)" - identical numbers, so this tower has been carrying Vindicator II unnamed. FIRST tower in the kit with TWO crit lines. Beats Mackinaw (22.07) on the 4 attacking waves (23/32/38/45) and is the best PASSIVE anti-air in the kit, but only 6.83 against everything else. A dual-specialist, not a generalist.</t>
        </is>
      </c>
      <c r="AO11" t="n">
        <v>550</v>
      </c>
      <c r="AP11" t="n">
        <v>3.5</v>
      </c>
      <c r="AQ11">
        <f>AO11*AP11</f>
        <v/>
      </c>
      <c r="AR11">
        <f>IF(D11=0,"",AW11/D11)</f>
        <v/>
      </c>
      <c r="AS11">
        <f>(N11/725)^2</f>
        <v/>
      </c>
      <c r="AT11">
        <f>IF(D11=0,"",AR11*AS11)</f>
        <v/>
      </c>
      <c r="AW11">
        <f>AQ11+N(AU11)+N(AV11)</f>
        <v/>
      </c>
      <c r="AX11">
        <f>IF(D11=0,"",AR11*(N11/725))</f>
        <v/>
      </c>
      <c r="AY11" t="inlineStr">
        <is>
          <t>basic attack</t>
        </is>
      </c>
    </row>
    <row r="12">
      <c r="A12" t="inlineStr">
        <is>
          <t>Little Jack</t>
        </is>
      </c>
      <c r="B12" t="inlineStr">
        <is>
          <t>h016</t>
        </is>
      </c>
      <c r="C12" t="n">
        <v>1</v>
      </c>
      <c r="D12" t="n">
        <v>195</v>
      </c>
      <c r="E12" t="n">
        <v>0</v>
      </c>
      <c r="G12" t="inlineStr">
        <is>
          <t>Battleship Mackinaw</t>
        </is>
      </c>
      <c r="H12" t="inlineStr">
        <is>
          <t>Tornado Shot (A00Q); Ground Critical Strike I (A003)</t>
        </is>
      </c>
      <c r="I12" t="inlineStr">
        <is>
          <t>air,enemies,ground,nonancient</t>
        </is>
      </c>
      <c r="J12" t="n">
        <v>420</v>
      </c>
      <c r="K12" t="n">
        <v>420</v>
      </c>
      <c r="L12" t="n">
        <v>420</v>
      </c>
      <c r="M12" t="n">
        <v>0.4</v>
      </c>
      <c r="N12" t="n">
        <v>800</v>
      </c>
      <c r="O12" t="inlineStr">
        <is>
          <t>siege</t>
        </is>
      </c>
      <c r="P12" t="n">
        <v>1050</v>
      </c>
      <c r="Z12" t="n">
        <v>6</v>
      </c>
      <c r="AA12" t="n">
        <v>1500</v>
      </c>
      <c r="AB12" t="n">
        <v>0</v>
      </c>
      <c r="AC12" t="inlineStr">
        <is>
          <t>missile</t>
        </is>
      </c>
      <c r="AD12" t="n">
        <v>419</v>
      </c>
      <c r="AE12" t="n">
        <v>1</v>
      </c>
      <c r="AF12" t="n">
        <v>1</v>
      </c>
      <c r="AG12" t="inlineStr">
        <is>
          <t>siege</t>
        </is>
      </c>
      <c r="AH12" t="inlineStr">
        <is>
          <t>hhou</t>
        </is>
      </c>
      <c r="AI12" t="inlineStr">
        <is>
          <t>A028,A00Q,A003</t>
        </is>
      </c>
      <c r="AJ12" t="inlineStr">
        <is>
          <t>Build Little Jack ( D )</t>
        </is>
      </c>
      <c r="AM12" t="inlineStr">
        <is>
          <t>D6</t>
        </is>
      </c>
      <c r="AN12" t="inlineStr">
        <is>
          <t xml:space="preserve">SIEGE (owner 2026-09-06) - which matters: its TORNADO answers air, but its AUTOATTACK gets no air bonus, since siege is absent from the Light bonus list. The tornado is a SPELL, not a passive trait (owner 2026-09-05) - so it is NOT the same thing as the Royal Family High Priest's "Judgement" trait, despite both doing 100 dps vs air. An earlier note here claimed they were tiers of one trait; that is withdrawn. </t>
        </is>
      </c>
      <c r="AO12" t="n">
        <v>1050</v>
      </c>
      <c r="AP12" t="n">
        <v>1.35</v>
      </c>
      <c r="AQ12">
        <f>AO12*AP12</f>
        <v/>
      </c>
      <c r="AR12">
        <f>IF(D12=0,"",AW12/D12)</f>
        <v/>
      </c>
      <c r="AS12">
        <f>(N12/725)^2</f>
        <v/>
      </c>
      <c r="AT12">
        <f>IF(D12=0,"",AR12*AS12)</f>
        <v/>
      </c>
      <c r="AW12">
        <f>AQ12+N(AU12)+N(AV12)</f>
        <v/>
      </c>
      <c r="AX12">
        <f>IF(D12=0,"",AR12*(N12/725))</f>
        <v/>
      </c>
      <c r="AY12" t="inlineStr">
        <is>
          <t>basic attack</t>
        </is>
      </c>
    </row>
    <row r="13">
      <c r="A13" t="inlineStr">
        <is>
          <t>Battleship Mackinaw</t>
        </is>
      </c>
      <c r="B13" t="inlineStr">
        <is>
          <t>h015</t>
        </is>
      </c>
      <c r="C13" t="n">
        <v>2</v>
      </c>
      <c r="D13" t="n">
        <v>240</v>
      </c>
      <c r="E13" t="n">
        <v>0</v>
      </c>
      <c r="F13" t="inlineStr">
        <is>
          <t>Little Jack</t>
        </is>
      </c>
      <c r="H13" t="inlineStr">
        <is>
          <t>Tornado Shot (A00Q); Fortitude (A047); Bash II (ACbh); Slow Poison II (A008)</t>
        </is>
      </c>
      <c r="I13" t="inlineStr">
        <is>
          <t>air,enemies,ground,nonancient</t>
        </is>
      </c>
      <c r="J13" t="n">
        <v>3790</v>
      </c>
      <c r="K13" t="n">
        <v>3795</v>
      </c>
      <c r="L13" t="n">
        <v>3792.5</v>
      </c>
      <c r="M13" t="n">
        <v>1.75</v>
      </c>
      <c r="N13" t="n">
        <v>1000</v>
      </c>
      <c r="O13" t="inlineStr">
        <is>
          <t>siege</t>
        </is>
      </c>
      <c r="P13" t="n">
        <v>2167.1</v>
      </c>
      <c r="Z13" t="n">
        <v>10</v>
      </c>
      <c r="AA13" t="n">
        <v>2250</v>
      </c>
      <c r="AB13" t="n">
        <v>0</v>
      </c>
      <c r="AC13" t="inlineStr">
        <is>
          <t>missile</t>
        </is>
      </c>
      <c r="AD13" t="n">
        <v>3789</v>
      </c>
      <c r="AE13" t="n">
        <v>1</v>
      </c>
      <c r="AF13" t="n">
        <v>6</v>
      </c>
      <c r="AG13" t="inlineStr">
        <is>
          <t>siege</t>
        </is>
      </c>
      <c r="AH13" t="inlineStr">
        <is>
          <t>hhou</t>
        </is>
      </c>
      <c r="AI13" t="inlineStr">
        <is>
          <t>A00Q,A047,ACbh,A028,A008</t>
        </is>
      </c>
      <c r="AJ13" t="inlineStr">
        <is>
          <t>U pgrade to Battleship Mackinaw</t>
        </is>
      </c>
      <c r="AM13" t="inlineStr">
        <is>
          <t>D6</t>
        </is>
      </c>
      <c r="AN13" t="inlineStr">
        <is>
          <t>SIEGE (owner 2026-09-06) - the last treant attack type read, 15/15. Its 22.07 becomes 35.31 on FORTIFIED waves (3/8/13/18/23...), the highest figure recorded in this kit by a wide margin, and 18.76 on boss waves (85%). Confirms branch B as the Fortified powerhouse: Sewer Barge -&gt; Brahma -&gt; Little Jack -&gt; Mackinaw is siege the whole way down. BASH II CONFIRMED 2026-09-05: the Royal Family Captain Bartlebee names it - 20%, +235, 2s stun, ground non-hero, identical to this tower. Note the chassis difference: on medium fire this yields ~40% stun uptime against Bartlebee's ~100% on very rapid. Stun uptime here is ~40% (medium fire) against Tyr Spirit's ~86%. THE kit's outlier: 22.07 range-adjusted, 2.5x the next best. 9.0x its own base's damage - the largest upgrade jump in the kit. Whether it keeps Little Jack's 35% x2 ground crit is UNSTATED, so these figures exclude it and are a FLOOR. Longest range in the kit (1000). Fire rate drops very rapid -&gt; medium, which the dps already accounts for. CRIT TARGET AMBIGUOUS (owner 2026-09-05): recorded as "boss" but the owner reports sometimes writing boss where the tooltip said HERO. "hero" is a stock WC3 ARMOUR TYPE (observed on wave 5), so this may be a crit vs an armour type rather than vs a unit role. Efficiency figures are unaffected either way (same chance and multiplier); only WHAT IT APPLIES TO is in doubt. REVERIFY.</t>
        </is>
      </c>
      <c r="AO13" t="n">
        <v>2167.1</v>
      </c>
      <c r="AP13" t="n">
        <v>1</v>
      </c>
      <c r="AQ13">
        <f>AO13*AP13</f>
        <v/>
      </c>
      <c r="AR13">
        <f>IF(D13=0,"",AW13/D13)</f>
        <v/>
      </c>
      <c r="AS13">
        <f>(N13/725)^2</f>
        <v/>
      </c>
      <c r="AT13">
        <f>IF(D13=0,"",AR13*AS13)</f>
        <v/>
      </c>
      <c r="AU13" t="n">
        <v>26.9</v>
      </c>
      <c r="AV13" t="n">
        <v>36</v>
      </c>
      <c r="AW13">
        <f>AQ13+N(AU13)+N(AV13)</f>
        <v/>
      </c>
      <c r="AX13">
        <f>IF(D13=0,"",AR13*(N13/725))</f>
        <v/>
      </c>
      <c r="AY13" t="inlineStr">
        <is>
          <t>basic attack</t>
        </is>
      </c>
    </row>
    <row r="14">
      <c r="A14" t="inlineStr">
        <is>
          <t>Ruby Scorpion</t>
        </is>
      </c>
      <c r="B14" t="inlineStr">
        <is>
          <t>h021</t>
        </is>
      </c>
      <c r="C14" t="n">
        <v>1</v>
      </c>
      <c r="D14" t="n">
        <v>450</v>
      </c>
      <c r="E14" t="n">
        <v>0</v>
      </c>
      <c r="H14" t="inlineStr">
        <is>
          <t>Fortitude (A047); Splash (A021); Versatile Critical Strike I (A004)</t>
        </is>
      </c>
      <c r="I14" t="inlineStr">
        <is>
          <t>enemies,ground,nonancient</t>
        </is>
      </c>
      <c r="J14" t="n">
        <v>430</v>
      </c>
      <c r="K14" t="n">
        <v>435</v>
      </c>
      <c r="L14" t="n">
        <v>432.5</v>
      </c>
      <c r="M14" t="n">
        <v>0.33</v>
      </c>
      <c r="N14" t="n">
        <v>1000</v>
      </c>
      <c r="O14" t="inlineStr">
        <is>
          <t>siege</t>
        </is>
      </c>
      <c r="P14" t="n">
        <v>1310.6</v>
      </c>
      <c r="T14" t="n">
        <v>0.3</v>
      </c>
      <c r="U14" t="n">
        <v>1000</v>
      </c>
      <c r="V14" t="inlineStr">
        <is>
          <t>pierce</t>
        </is>
      </c>
      <c r="X14" t="inlineStr">
        <is>
          <t>enemies,ground,nonancient</t>
        </is>
      </c>
      <c r="Z14" t="n">
        <v>11</v>
      </c>
      <c r="AA14" t="n">
        <v>3000</v>
      </c>
      <c r="AB14" t="n">
        <v>0</v>
      </c>
      <c r="AC14" t="inlineStr">
        <is>
          <t>msplash</t>
        </is>
      </c>
      <c r="AD14" t="n">
        <v>429</v>
      </c>
      <c r="AE14" t="n">
        <v>1</v>
      </c>
      <c r="AF14" t="n">
        <v>6</v>
      </c>
      <c r="AG14" t="inlineStr">
        <is>
          <t>siege</t>
        </is>
      </c>
      <c r="AH14" t="inlineStr">
        <is>
          <t>hhou</t>
        </is>
      </c>
      <c r="AI14" t="inlineStr">
        <is>
          <t>A047,A028,A021,A004</t>
        </is>
      </c>
      <c r="AJ14" t="inlineStr">
        <is>
          <t>Build Ruby Scorpion ( F )</t>
        </is>
      </c>
      <c r="AK14" t="n">
        <v>287</v>
      </c>
      <c r="AM14" t="inlineStr">
        <is>
          <t>D9</t>
        </is>
      </c>
      <c r="AN14" t="inlineStr">
        <is>
          <t>SIEGE (owner 2026-09-06): 160% on Fortified, so its 5.78 becomes 9.25 there. CONVERGENCE TOWER: it needs Arcadia AND Mackinaw, i.e. both T2 branches taken to their ends. Reaching it costs 550g (air branch) + 570g (generalist branch) + 450g = 1570g. That reframes its 5.78 - you are not choosing it over other towers, you are receiving it for having built both branches out. POSSIBLE VERSATILE CRITICAL STRIKE: the Royal Family Captain Bartlebee carries "Versatile Critical Strike (35% x2.5 vs ALL units)" - identical chance and multiplier to this tower, but this one was recorded as vs ATTACKING, not vs all. Either the target was mis-transcribed, or these are different traits sharing numbers. NOT assumed either way. If it is Versatile, this tower is far better than its 5.78 suggests, since the crit would apply on every wave. VERIFY. Priciest base tower seen and STILL type-specialised. 5.78 vs its own type against Arcadia 23.90 for 250g. eff/g ignores durability, and this is high-durability + attacking-crit = built to survive the waves that destroy towers.</t>
        </is>
      </c>
      <c r="AO14" t="n">
        <v>1310.6</v>
      </c>
      <c r="AP14" t="n">
        <v>1.52</v>
      </c>
      <c r="AQ14">
        <f>AO14*AP14</f>
        <v/>
      </c>
      <c r="AR14">
        <f>IF(D14=0,"",AW14/D14)</f>
        <v/>
      </c>
      <c r="AS14">
        <f>(N14/725)^2</f>
        <v/>
      </c>
      <c r="AT14">
        <f>IF(D14=0,"",AR14*AS14)</f>
        <v/>
      </c>
      <c r="AW14">
        <f>AQ14+N(AU14)+N(AV14)</f>
        <v/>
      </c>
      <c r="AX14">
        <f>IF(D14=0,"",AR14*(N14/725))</f>
        <v/>
      </c>
      <c r="AY14" t="inlineStr">
        <is>
          <t>basic attack</t>
        </is>
      </c>
    </row>
    <row r="15">
      <c r="A15" t="inlineStr">
        <is>
          <t>Stone Experiment</t>
        </is>
      </c>
      <c r="B15" t="inlineStr">
        <is>
          <t>h022</t>
        </is>
      </c>
      <c r="C15" t="n">
        <v>1</v>
      </c>
      <c r="D15" t="n">
        <v>225</v>
      </c>
      <c r="E15" t="n">
        <v>0</v>
      </c>
      <c r="G15" t="inlineStr">
        <is>
          <t>Frankenstone</t>
        </is>
      </c>
      <c r="H15" t="inlineStr">
        <is>
          <t>Ground Splash (A01W); Ground Critical Strike I (A003)</t>
        </is>
      </c>
      <c r="I15" t="inlineStr">
        <is>
          <t>air,enemies,ground,nonancient</t>
        </is>
      </c>
      <c r="J15" t="n">
        <v>473</v>
      </c>
      <c r="K15" t="n">
        <v>478</v>
      </c>
      <c r="L15" t="n">
        <v>475.5</v>
      </c>
      <c r="M15" t="n">
        <v>1</v>
      </c>
      <c r="N15" t="n">
        <v>500</v>
      </c>
      <c r="O15" t="inlineStr">
        <is>
          <t>siege</t>
        </is>
      </c>
      <c r="P15" t="n">
        <v>475.5</v>
      </c>
      <c r="X15" t="inlineStr">
        <is>
          <t>enemies,ground,nonancient</t>
        </is>
      </c>
      <c r="Z15" t="n">
        <v>7</v>
      </c>
      <c r="AA15" t="n">
        <v>2250</v>
      </c>
      <c r="AB15" t="n">
        <v>0</v>
      </c>
      <c r="AC15" t="inlineStr">
        <is>
          <t>msplash</t>
        </is>
      </c>
      <c r="AD15" t="n">
        <v>472</v>
      </c>
      <c r="AE15" t="n">
        <v>1</v>
      </c>
      <c r="AF15" t="n">
        <v>6</v>
      </c>
      <c r="AG15" t="inlineStr">
        <is>
          <t>siege</t>
        </is>
      </c>
      <c r="AH15" t="inlineStr">
        <is>
          <t>hhou</t>
        </is>
      </c>
      <c r="AI15" t="inlineStr">
        <is>
          <t>A028,A01W,A003</t>
        </is>
      </c>
      <c r="AJ15" t="inlineStr">
        <is>
          <t>Build Stone Experiment ( Z )</t>
        </is>
      </c>
      <c r="AM15" t="inlineStr">
        <is>
          <t>D8</t>
        </is>
      </c>
      <c r="AN15" t="inlineStr">
        <is>
          <t>SIEGE (owner 2026-09-06): 3.13 becomes 5.01 on Fortified. NOT A CHEAP TRAP - A CONVERGENCE TOWER. Reaching it costs ~1125g plus the specialist base, and it requires Little Jack AND Interceptor, which sit on OPPOSITE branches of the T2 fork - so you must build two Sewer Barges and take both. That makes the fork a matter of TIMING, never a permanent lockout. Earlier notes here called it the worst tower in the kit at 3.13 and advised skipping it; the 3.13 stands, but "skip" was the wrong frame for something you cannot reach early regardless. Upgrade is Frankenstone (300g). Rapid (not very rapid) and only 500 range - weak on both efficiency axes despite high raw damage. WAVE-GATED at 10 - pairs with Warpath at 20 on a 10-wave cadence.</t>
        </is>
      </c>
      <c r="AO15" t="n">
        <v>475.5</v>
      </c>
      <c r="AP15" t="n">
        <v>1.35</v>
      </c>
      <c r="AQ15">
        <f>AO15*AP15</f>
        <v/>
      </c>
      <c r="AR15">
        <f>IF(D15=0,"",AW15/D15)</f>
        <v/>
      </c>
      <c r="AS15">
        <f>(N15/725)^2</f>
        <v/>
      </c>
      <c r="AT15">
        <f>IF(D15=0,"",AR15*AS15)</f>
        <v/>
      </c>
      <c r="AW15">
        <f>AQ15+N(AU15)+N(AV15)</f>
        <v/>
      </c>
      <c r="AX15">
        <f>IF(D15=0,"",AR15*(N15/725))</f>
        <v/>
      </c>
      <c r="AY15" t="inlineStr">
        <is>
          <t>basic attack</t>
        </is>
      </c>
    </row>
    <row r="16">
      <c r="A16" t="inlineStr">
        <is>
          <t>Frankenstone</t>
        </is>
      </c>
      <c r="B16" t="inlineStr">
        <is>
          <t>h023</t>
        </is>
      </c>
      <c r="C16" t="n">
        <v>2</v>
      </c>
      <c r="D16" t="n">
        <v>300</v>
      </c>
      <c r="E16" t="n">
        <v>0</v>
      </c>
      <c r="F16" t="inlineStr">
        <is>
          <t>Stone Experiment</t>
        </is>
      </c>
      <c r="H16" t="inlineStr">
        <is>
          <t>Machine Critical Strike (A03Y); Regeneration (A03W); Ground Splash (A01W)</t>
        </is>
      </c>
      <c r="I16" t="inlineStr">
        <is>
          <t>air,enemies,ground,nonancient</t>
        </is>
      </c>
      <c r="J16" t="n">
        <v>1126</v>
      </c>
      <c r="K16" t="n">
        <v>1131</v>
      </c>
      <c r="L16" t="n">
        <v>1128.5</v>
      </c>
      <c r="M16" t="n">
        <v>0.9</v>
      </c>
      <c r="N16" t="n">
        <v>500</v>
      </c>
      <c r="O16" t="inlineStr">
        <is>
          <t>siege</t>
        </is>
      </c>
      <c r="P16" t="n">
        <v>1253.9</v>
      </c>
      <c r="X16" t="inlineStr">
        <is>
          <t>enemies,ground,nonancient</t>
        </is>
      </c>
      <c r="Z16" t="n">
        <v>8</v>
      </c>
      <c r="AA16" t="n">
        <v>2500</v>
      </c>
      <c r="AB16" t="n">
        <v>0</v>
      </c>
      <c r="AC16" t="inlineStr">
        <is>
          <t>msplash</t>
        </is>
      </c>
      <c r="AD16" t="n">
        <v>1125</v>
      </c>
      <c r="AE16" t="n">
        <v>1</v>
      </c>
      <c r="AF16" t="n">
        <v>6</v>
      </c>
      <c r="AG16" t="inlineStr">
        <is>
          <t>siege</t>
        </is>
      </c>
      <c r="AH16" t="inlineStr">
        <is>
          <t>hhou</t>
        </is>
      </c>
      <c r="AI16" t="inlineStr">
        <is>
          <t>A03Y,A03W,A028,A01W</t>
        </is>
      </c>
      <c r="AJ16" t="inlineStr">
        <is>
          <t>U pgrade to Frankenstone</t>
        </is>
      </c>
      <c r="AM16" t="inlineStr">
        <is>
          <t>D8</t>
        </is>
      </c>
      <c r="AN16" t="inlineStr">
        <is>
          <t>THE SKIP QUESTION IS SETTLED, and the answer is "right conclusion, wrong reason". At 7.41 range-adjusted (10.01 if it keeps the ground crit, unstated) it is well short of Mackinaw 22.07 and Arcadia 23.90, so buying INTO this line for damage was never correct. But Stone Experiment is a convergence tower you receive for building the rest of the tree anyway, and 300g to go 3.13 -&gt; 7.41 is a fine upgrade once you have it. THE GAIN IS IN FIRE RATE, NOT DAMAGE: damage is x2.37 but the rate DOUBLES (rapid -&gt; very rapid), while RANGE STAYS AT 500 so coverage remains a poor 0.69. PREDICTION POST-MORTEM: I modelled three damage multiples and said x9 would tie the best in the kit. The real multiple is x2.37 - but my error was holding the CHASSIS fixed. I varied damage and assumed speed and range would not move; speed doubled. SIEGE (owner 2026-09-06). Upgrade of Stone Experiment, 300g. No stats captured.</t>
        </is>
      </c>
      <c r="AO16" t="n">
        <v>1253.9</v>
      </c>
      <c r="AP16" t="n">
        <v>1.8</v>
      </c>
      <c r="AQ16">
        <f>AO16*AP16</f>
        <v/>
      </c>
      <c r="AR16">
        <f>IF(D16=0,"",AW16/D16)</f>
        <v/>
      </c>
      <c r="AS16">
        <f>(N16/725)^2</f>
        <v/>
      </c>
      <c r="AT16">
        <f>IF(D16=0,"",AR16*AS16)</f>
        <v/>
      </c>
      <c r="AW16">
        <f>AQ16+N(AU16)+N(AV16)</f>
        <v/>
      </c>
      <c r="AX16">
        <f>IF(D16=0,"",AR16*(N16/725))</f>
        <v/>
      </c>
      <c r="AY16" t="inlineStr">
        <is>
          <t>basic attack</t>
        </is>
      </c>
    </row>
    <row r="17">
      <c r="A17" t="inlineStr">
        <is>
          <t>Warpath</t>
        </is>
      </c>
      <c r="B17" t="inlineStr">
        <is>
          <t>h007</t>
        </is>
      </c>
      <c r="C17" t="n">
        <v>1</v>
      </c>
      <c r="D17" t="n">
        <v>350</v>
      </c>
      <c r="E17" t="n">
        <v>0</v>
      </c>
      <c r="G17" t="inlineStr">
        <is>
          <t>Drunk Rock</t>
        </is>
      </c>
      <c r="H17" t="inlineStr">
        <is>
          <t>Fortitude (A047); Boss Assassin I (A03D); Ground Splash (A01W); Air Deficiency (A009)</t>
        </is>
      </c>
      <c r="I17" t="inlineStr">
        <is>
          <t>air,enemies,ground,nonancient</t>
        </is>
      </c>
      <c r="J17" t="n">
        <v>633</v>
      </c>
      <c r="K17" t="n">
        <v>638</v>
      </c>
      <c r="L17" t="n">
        <v>635.5</v>
      </c>
      <c r="M17" t="n">
        <v>0.6</v>
      </c>
      <c r="N17" t="n">
        <v>1000</v>
      </c>
      <c r="O17" t="inlineStr">
        <is>
          <t>siege</t>
        </is>
      </c>
      <c r="P17" t="n">
        <v>1059.2</v>
      </c>
      <c r="X17" t="inlineStr">
        <is>
          <t>enemies,ground,nonancient</t>
        </is>
      </c>
      <c r="Z17" t="n">
        <v>11</v>
      </c>
      <c r="AA17" t="n">
        <v>3000</v>
      </c>
      <c r="AB17" t="n">
        <v>0</v>
      </c>
      <c r="AC17" t="inlineStr">
        <is>
          <t>msplash</t>
        </is>
      </c>
      <c r="AD17" t="n">
        <v>632</v>
      </c>
      <c r="AE17" t="n">
        <v>1</v>
      </c>
      <c r="AF17" t="n">
        <v>6</v>
      </c>
      <c r="AG17" t="inlineStr">
        <is>
          <t>siege</t>
        </is>
      </c>
      <c r="AH17" t="inlineStr">
        <is>
          <t>hhou</t>
        </is>
      </c>
      <c r="AI17" t="inlineStr">
        <is>
          <t>A047,A03D,A028,A01W,A009</t>
        </is>
      </c>
      <c r="AJ17" t="inlineStr">
        <is>
          <t>Build Warpath ( X )</t>
        </is>
      </c>
      <c r="AM17" t="inlineStr">
        <is>
          <t>D10</t>
        </is>
      </c>
      <c r="AN17" t="inlineStr">
        <is>
          <t>SIEGE (owner 2026-09-06). Gated behind the Stone Experiment line: needs Frankenstone, which needs Stone Experiment, which itself needs the specialist base and four towers. So Warpath sits at the end of the kit's longest single chain. WAVE-GATED unlock - the menu grows on a schedule, not only by spending. Stats not yet recorded.</t>
        </is>
      </c>
      <c r="AO17" t="n">
        <v>1059.2</v>
      </c>
      <c r="AP17" t="n">
        <v>1</v>
      </c>
      <c r="AQ17">
        <f>AO17*AP17</f>
        <v/>
      </c>
      <c r="AR17">
        <f>IF(D17=0,"",AW17/D17)</f>
        <v/>
      </c>
      <c r="AS17">
        <f>(N17/725)^2</f>
        <v/>
      </c>
      <c r="AT17">
        <f>IF(D17=0,"",AR17*AS17)</f>
        <v/>
      </c>
      <c r="AW17">
        <f>AQ17+N(AU17)+N(AV17)</f>
        <v/>
      </c>
      <c r="AX17">
        <f>IF(D17=0,"",AR17*(N17/725))</f>
        <v/>
      </c>
      <c r="AY17" t="inlineStr">
        <is>
          <t>basic attack</t>
        </is>
      </c>
    </row>
    <row r="18">
      <c r="A18" t="inlineStr">
        <is>
          <t>Drunk Rock</t>
        </is>
      </c>
      <c r="B18" t="inlineStr">
        <is>
          <t>h026</t>
        </is>
      </c>
      <c r="C18" t="n">
        <v>2</v>
      </c>
      <c r="D18" t="n">
        <v>420</v>
      </c>
      <c r="E18" t="n">
        <v>0</v>
      </c>
      <c r="F18" t="inlineStr">
        <is>
          <t>Warpath</t>
        </is>
      </c>
      <c r="H18" t="inlineStr">
        <is>
          <t>Fortitude (A047); Uber Ground Splash (A01X); Air Deficiency (A009)</t>
        </is>
      </c>
      <c r="I18" t="inlineStr">
        <is>
          <t>air,enemies,ground,nonancient</t>
        </is>
      </c>
      <c r="J18" t="n">
        <v>1079</v>
      </c>
      <c r="K18" t="n">
        <v>1084</v>
      </c>
      <c r="L18" t="n">
        <v>1081.5</v>
      </c>
      <c r="M18" t="n">
        <v>0.6</v>
      </c>
      <c r="N18" t="n">
        <v>1100</v>
      </c>
      <c r="O18" t="inlineStr">
        <is>
          <t>siege</t>
        </is>
      </c>
      <c r="P18" t="n">
        <v>1802.5</v>
      </c>
      <c r="X18" t="inlineStr">
        <is>
          <t>enemies,ground,nonancient</t>
        </is>
      </c>
      <c r="Z18" t="n">
        <v>12</v>
      </c>
      <c r="AA18" t="n">
        <v>3250</v>
      </c>
      <c r="AB18" t="n">
        <v>0</v>
      </c>
      <c r="AC18" t="inlineStr">
        <is>
          <t>msplash</t>
        </is>
      </c>
      <c r="AD18" t="n">
        <v>1078</v>
      </c>
      <c r="AE18" t="n">
        <v>1</v>
      </c>
      <c r="AF18" t="n">
        <v>6</v>
      </c>
      <c r="AG18" t="inlineStr">
        <is>
          <t>siege</t>
        </is>
      </c>
      <c r="AH18" t="inlineStr">
        <is>
          <t>hhou</t>
        </is>
      </c>
      <c r="AI18" t="inlineStr">
        <is>
          <t>A047,A028,A01X,A009</t>
        </is>
      </c>
      <c r="AJ18" t="inlineStr">
        <is>
          <t>U pgrade to Drunk Rock</t>
        </is>
      </c>
      <c r="AN18" t="inlineStr">
        <is>
          <t>Appears ONLY as a Raiden requirement (owner 2026-09-06). Never otherwise seen - not in any build, not in any earlier list. The last unmapped node in the treant tree.</t>
        </is>
      </c>
      <c r="AO18" t="n">
        <v>1802.5</v>
      </c>
      <c r="AP18" t="n">
        <v>1</v>
      </c>
      <c r="AQ18">
        <f>AO18*AP18</f>
        <v/>
      </c>
      <c r="AR18">
        <f>IF(D18=0,"",AW18/D18)</f>
        <v/>
      </c>
      <c r="AS18">
        <f>(N18/725)^2</f>
        <v/>
      </c>
      <c r="AT18">
        <f>IF(D18=0,"",AR18*AS18)</f>
        <v/>
      </c>
      <c r="AW18">
        <f>AQ18+N(AU18)+N(AV18)</f>
        <v/>
      </c>
      <c r="AX18">
        <f>IF(D18=0,"",AR18*(N18/725))</f>
        <v/>
      </c>
      <c r="AY18" t="inlineStr">
        <is>
          <t>basic attack</t>
        </is>
      </c>
    </row>
    <row r="19">
      <c r="A19" t="inlineStr">
        <is>
          <t>Raiden</t>
        </is>
      </c>
      <c r="B19" t="inlineStr">
        <is>
          <t>h028</t>
        </is>
      </c>
      <c r="C19" t="n">
        <v>1</v>
      </c>
      <c r="D19" t="n">
        <v>825</v>
      </c>
      <c r="E19" t="n">
        <v>1</v>
      </c>
      <c r="G19" t="inlineStr">
        <is>
          <t>Apocalypse</t>
        </is>
      </c>
      <c r="H19" t="inlineStr">
        <is>
          <t>Splash (A021); Air Critical Strike I (A005)</t>
        </is>
      </c>
      <c r="I19" t="inlineStr">
        <is>
          <t>air,enemies,ground,nonancient</t>
        </is>
      </c>
      <c r="J19" t="n">
        <v>2860</v>
      </c>
      <c r="K19" t="n">
        <v>2865</v>
      </c>
      <c r="L19" t="n">
        <v>2862.5</v>
      </c>
      <c r="M19" t="n">
        <v>0.9</v>
      </c>
      <c r="N19" t="n">
        <v>1200</v>
      </c>
      <c r="O19" t="inlineStr">
        <is>
          <t>magic</t>
        </is>
      </c>
      <c r="P19" t="n">
        <v>3180.6</v>
      </c>
      <c r="X19" t="inlineStr">
        <is>
          <t>air,enemies,ground,nonancient</t>
        </is>
      </c>
      <c r="Z19" t="n">
        <v>10</v>
      </c>
      <c r="AA19" t="n">
        <v>3000</v>
      </c>
      <c r="AB19" t="n">
        <v>0</v>
      </c>
      <c r="AC19" t="inlineStr">
        <is>
          <t>msplash</t>
        </is>
      </c>
      <c r="AD19" t="n">
        <v>2859</v>
      </c>
      <c r="AE19" t="n">
        <v>1</v>
      </c>
      <c r="AF19" t="n">
        <v>6</v>
      </c>
      <c r="AG19" t="inlineStr">
        <is>
          <t>magic</t>
        </is>
      </c>
      <c r="AH19" t="inlineStr">
        <is>
          <t>hhou</t>
        </is>
      </c>
      <c r="AI19" t="inlineStr">
        <is>
          <t>A028,A021,A005</t>
        </is>
      </c>
      <c r="AJ19" t="inlineStr">
        <is>
          <t>Build Raiden ( C )</t>
        </is>
      </c>
      <c r="AM19" t="inlineStr">
        <is>
          <t>D11</t>
        </is>
      </c>
      <c r="AN19" t="inlineStr">
        <is>
          <t>MAGIC (owner 2026-09-06) - so the CAPSTONE breaks from the kit's siege identity, moving to 140% vs Light (air) and 75% vs Fortified. The capstone answers what the rest of the kit cannot. THE CAPSTONE, and it requires ESSENTIALLY THE WHOLE TREE: Phlogiston converges both T1 children, Ruby Scorpion converges both T2 branches, and Drunk Rock is a tower we have never otherwise seen. Priceable prerequisites come to 2605g, before Drunk Rock, the specialist base, or Raiden itself. Same shape as the Royal Family capstone (Astral Skibi, ~6389g path). Cost and stats unread.</t>
        </is>
      </c>
      <c r="AO19" t="n">
        <v>3180.6</v>
      </c>
      <c r="AP19" t="n">
        <v>1.25</v>
      </c>
      <c r="AQ19">
        <f>AO19*AP19</f>
        <v/>
      </c>
      <c r="AR19">
        <f>IF(D19=0,"",AW19/D19)</f>
        <v/>
      </c>
      <c r="AS19">
        <f>(N19/725)^2</f>
        <v/>
      </c>
      <c r="AT19">
        <f>IF(D19=0,"",AR19*AS19)</f>
        <v/>
      </c>
      <c r="AW19">
        <f>AQ19+N(AU19)+N(AV19)</f>
        <v/>
      </c>
      <c r="AX19">
        <f>IF(D19=0,"",AR19*(N19/725))</f>
        <v/>
      </c>
      <c r="AY19" t="inlineStr">
        <is>
          <t>basic attack</t>
        </is>
      </c>
    </row>
    <row r="20">
      <c r="A20" t="inlineStr">
        <is>
          <t>Apocalypse</t>
        </is>
      </c>
      <c r="B20" t="inlineStr">
        <is>
          <t>h027</t>
        </is>
      </c>
      <c r="C20" t="n">
        <v>2</v>
      </c>
      <c r="D20" t="n">
        <v>800</v>
      </c>
      <c r="E20" t="n">
        <v>1</v>
      </c>
      <c r="F20" t="inlineStr">
        <is>
          <t>Raiden</t>
        </is>
      </c>
      <c r="H20" t="inlineStr">
        <is>
          <t>Splash (A021); Versatile Critical Strike I (A004); Frost II (A002); Calamity (A00B)</t>
        </is>
      </c>
      <c r="I20" t="inlineStr">
        <is>
          <t>air,enemies,ground,nonancient</t>
        </is>
      </c>
      <c r="J20" t="n">
        <v>5050</v>
      </c>
      <c r="K20" t="n">
        <v>5100</v>
      </c>
      <c r="L20" t="n">
        <v>5075</v>
      </c>
      <c r="M20" t="n">
        <v>1.1</v>
      </c>
      <c r="N20" t="n">
        <v>1300</v>
      </c>
      <c r="O20" t="inlineStr">
        <is>
          <t>siege</t>
        </is>
      </c>
      <c r="P20" t="n">
        <v>4613.6</v>
      </c>
      <c r="X20" t="inlineStr">
        <is>
          <t>air,enemies,ground,nonancient</t>
        </is>
      </c>
      <c r="Z20" t="n">
        <v>15</v>
      </c>
      <c r="AA20" t="n">
        <v>4000</v>
      </c>
      <c r="AB20" t="n">
        <v>0</v>
      </c>
      <c r="AC20" t="inlineStr">
        <is>
          <t>msplash</t>
        </is>
      </c>
      <c r="AD20" t="n">
        <v>5049</v>
      </c>
      <c r="AE20" t="n">
        <v>1</v>
      </c>
      <c r="AF20" t="n">
        <v>51</v>
      </c>
      <c r="AG20" t="inlineStr">
        <is>
          <t>siege</t>
        </is>
      </c>
      <c r="AH20" t="inlineStr">
        <is>
          <t>hhou</t>
        </is>
      </c>
      <c r="AI20" t="inlineStr">
        <is>
          <t>A028,A021,A004,A002,A00B</t>
        </is>
      </c>
      <c r="AJ20" t="inlineStr">
        <is>
          <t>U pgrade to Apocalypse</t>
        </is>
      </c>
      <c r="AO20" t="n">
        <v>4613.6</v>
      </c>
      <c r="AP20" t="n">
        <v>1.52</v>
      </c>
      <c r="AQ20">
        <f>AO20*AP20</f>
        <v/>
      </c>
      <c r="AR20">
        <f>IF(D20=0,"",AW20/D20)</f>
        <v/>
      </c>
      <c r="AS20">
        <f>(N20/725)^2</f>
        <v/>
      </c>
      <c r="AT20">
        <f>IF(D20=0,"",AR20*AS20)</f>
        <v/>
      </c>
      <c r="AW20">
        <f>AQ20+N(AU20)+N(AV20)</f>
        <v/>
      </c>
      <c r="AX20">
        <f>IF(D20=0,"",AR20*(N20/725))</f>
        <v/>
      </c>
      <c r="AY20" t="inlineStr">
        <is>
          <t>basic attack</t>
        </is>
      </c>
    </row>
    <row r="21">
      <c r="A21" t="inlineStr">
        <is>
          <t>Sewage Surprise</t>
        </is>
      </c>
      <c r="AL21" t="inlineStr">
        <is>
          <t>hand capture only — no extracted counterpart</t>
        </is>
      </c>
      <c r="AM21" t="inlineStr">
        <is>
          <t>D2</t>
        </is>
      </c>
      <c r="AN21" t="inlineStr">
        <is>
          <t>MAGIC (owner 2026-09-06), where its BASE Sewer Barge is siege - so attack type is NOT inherited on upgrade. Consequence: the upgrade gains everywhere except FORTIFIED, where siege 160% vs magic 75% leaves the base nearly as strong as its own upgrade (8.10 vs 5.92). Upgrading is a downgrade on 1 wave in 5. THE AIR BRANCH: this is the T2 upgrade that leads to Interceptor and Arcadia. Choosing the other branch (Brahma Fix It Shop) forfeits the treant's only passive air answer on that Sewer Barge. 'crit mecha like base' - the anti-mecha crit carries.</t>
        </is>
      </c>
      <c r="AP21" t="n">
        <v>1</v>
      </c>
      <c r="AQ21">
        <f>AO21*AP21</f>
        <v/>
      </c>
      <c r="AR21">
        <f>IF(D21=0,"",AW21/D21)</f>
        <v/>
      </c>
      <c r="AS21">
        <f>(N21/725)^2</f>
        <v/>
      </c>
      <c r="AT21">
        <f>IF(D21=0,"",AR21*AS21)</f>
        <v/>
      </c>
      <c r="AW21">
        <f>AQ21+N(AU21)+N(AV21)</f>
        <v/>
      </c>
      <c r="AX21">
        <f>IF(D21=0,"",AR21*(N21/725))</f>
        <v/>
      </c>
      <c r="AY21" t="inlineStr">
        <is>
          <t>no damage figure — support/on-death, or a bonus that needs a basic attack it lacks</t>
        </is>
      </c>
    </row>
    <row r="22">
      <c r="A22" t="inlineStr">
        <is>
          <t>Brahma Fix It Shop</t>
        </is>
      </c>
      <c r="AL22" t="inlineStr">
        <is>
          <t>hand capture only — no extracted counterpart</t>
        </is>
      </c>
      <c r="AM22" t="inlineStr">
        <is>
          <t>D2</t>
        </is>
      </c>
      <c r="AN22" t="inlineStr">
        <is>
          <t>SIEGE (owner 2026-09-06) - and that sharpens the T2 fork: the air branch (Sewage Surprise) switches the line to MAGIC, while this branch KEEPS siege. So the fork is siege-stays vs magic-switch, not two arbitrary paths. Its 4.67 becomes 7.47 on Fortified. THE GENERALIST BRANCH: leads to Little Jack and Battleship Mackinaw (22.07 untyped, the kit's best all-purpose tower). The opposite branch leads to the air line. Support branch. Longest range in the captured kit (1100). 'same passive to crit unit' - target type not stated.</t>
        </is>
      </c>
      <c r="AP22" t="n">
        <v>1</v>
      </c>
      <c r="AQ22">
        <f>AO22*AP22</f>
        <v/>
      </c>
      <c r="AR22">
        <f>IF(D22=0,"",AW22/D22)</f>
        <v/>
      </c>
      <c r="AS22">
        <f>(N22/725)^2</f>
        <v/>
      </c>
      <c r="AT22">
        <f>IF(D22=0,"",AR22*AS22)</f>
        <v/>
      </c>
      <c r="AW22">
        <f>AQ22+N(AU22)+N(AV22)</f>
        <v/>
      </c>
      <c r="AX22">
        <f>IF(D22=0,"",AR22*(N22/725))</f>
        <v/>
      </c>
      <c r="AY22" t="inlineStr">
        <is>
          <t>no damage figure — support/on-death, or a bonus that needs a basic attack it lacks</t>
        </is>
      </c>
    </row>
    <row r="23">
      <c r="A23" t="inlineStr">
        <is>
          <t>Giga Spikes</t>
        </is>
      </c>
      <c r="AL23" t="inlineStr">
        <is>
          <t>hand capture only — no extracted counterpart</t>
        </is>
      </c>
      <c r="AM23" t="inlineStr">
        <is>
          <t>D4</t>
        </is>
      </c>
      <c r="AN23" t="inlineStr">
        <is>
          <t xml:space="preserve">SIEGE (owner 2026-09-06) - note its BASE Spike Shooter is CHAOS, so this upgrade CHANGES type, the second confirmed case after Sewer Barge -&gt; Sewage Surprise. 4.95 becomes 7.92 on Fortified. RESOLVED 2026-09-05: the trait is named "Boss Assassin" but TARGETS HEROES - the owner read "boss assassin II (50% x8 against heroes)" on a Royal Family tower. So the earlier boss-vs-hero ambiguity was the GAME conflating them, not a transcription slip. Both readings were right. Upgrade of Spike Shooter. Keeps the anti-boss crit - 'same passive against boss', confirmed by the owner checking Giga Spikes directly (2026-09-03). Range jumps 600-&gt;900. </t>
        </is>
      </c>
      <c r="AP23" t="n">
        <v>1</v>
      </c>
      <c r="AQ23">
        <f>AO23*AP23</f>
        <v/>
      </c>
      <c r="AR23">
        <f>IF(D23=0,"",AW23/D23)</f>
        <v/>
      </c>
      <c r="AS23">
        <f>(N23/725)^2</f>
        <v/>
      </c>
      <c r="AT23">
        <f>IF(D23=0,"",AR23*AS23)</f>
        <v/>
      </c>
      <c r="AW23">
        <f>AQ23+N(AU23)+N(AV23)</f>
        <v/>
      </c>
      <c r="AX23">
        <f>IF(D23=0,"",AR23*(N23/725))</f>
        <v/>
      </c>
      <c r="AY23" t="inlineStr">
        <is>
          <t>no damage figure — support/on-death, or a bonus that needs a basic attack it lacks</t>
        </is>
      </c>
    </row>
    <row r="24">
      <c r="A24" t="inlineStr">
        <is>
          <t>Specialist Base</t>
        </is>
      </c>
      <c r="AL24" t="inlineStr">
        <is>
          <t>hand capture only — no extracted counterpart</t>
        </is>
      </c>
      <c r="AN24" t="inlineStr">
        <is>
          <t>THE TREANT HAS A BASE UPGRADE TOO. Analogous to the Royal Family's Royal Base II, which is bought at the hero-selection building. So base upgrades are present in 2 of 3 captured kits - the Tempest Hawk, which has none, is the exception. Cost and purchase location unread.</t>
        </is>
      </c>
      <c r="AP24" t="n">
        <v>1</v>
      </c>
      <c r="AQ24">
        <f>AO24*AP24</f>
        <v/>
      </c>
      <c r="AR24">
        <f>IF(D24=0,"",AW24/D24)</f>
        <v/>
      </c>
      <c r="AS24">
        <f>(N24/725)^2</f>
        <v/>
      </c>
      <c r="AT24">
        <f>IF(D24=0,"",AR24*AS24)</f>
        <v/>
      </c>
      <c r="AW24">
        <f>AQ24+N(AU24)+N(AV24)</f>
        <v/>
      </c>
      <c r="AX24">
        <f>IF(D24=0,"",AR24*(N24/725))</f>
        <v/>
      </c>
      <c r="AY24" t="inlineStr">
        <is>
          <t>no damage figure — support/on-death, or a bonus that needs a basic attack it lacks</t>
        </is>
      </c>
    </row>
  </sheetData>
  <autoFilter ref="A1:AY2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A22"/>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9" customWidth="1" min="3" max="3"/>
    <col width="11" customWidth="1" min="4" max="4"/>
    <col width="9" customWidth="1" min="5" max="5"/>
    <col width="16" customWidth="1" min="6" max="6"/>
    <col width="22" customWidth="1" min="7" max="7"/>
    <col width="48" customWidth="1" min="8" max="8"/>
    <col width="31" customWidth="1" min="9" max="9"/>
    <col width="10" customWidth="1" min="10" max="10"/>
    <col width="10" customWidth="1" min="11" max="11"/>
    <col width="11" customWidth="1" min="12" max="12"/>
    <col width="15" customWidth="1" min="13" max="13"/>
    <col width="12" customWidth="1" min="14" max="14"/>
    <col width="11" customWidth="1" min="15" max="15"/>
    <col width="10" customWidth="1" min="16" max="16"/>
    <col width="10" customWidth="1" min="17" max="17"/>
    <col width="10" customWidth="1" min="18" max="18"/>
    <col width="11" customWidth="1" min="19" max="19"/>
    <col width="15" customWidth="1" min="20" max="20"/>
    <col width="12" customWidth="1" min="21" max="21"/>
    <col width="11" customWidth="1" min="22" max="22"/>
    <col width="10" customWidth="1" min="23" max="23"/>
    <col width="31" customWidth="1" min="24" max="24"/>
    <col width="13" customWidth="1" min="25" max="25"/>
    <col width="14" customWidth="1" min="26" max="26"/>
    <col width="9" customWidth="1" min="27" max="27"/>
    <col width="13" customWidth="1" min="28" max="28"/>
    <col width="13" customWidth="1" min="29" max="29"/>
    <col width="11" customWidth="1" min="30" max="30"/>
    <col width="11" customWidth="1" min="31" max="31"/>
    <col width="12" customWidth="1" min="32" max="32"/>
    <col width="20" customWidth="1" min="33" max="33"/>
    <col width="11" customWidth="1" min="34" max="34"/>
    <col width="26" customWidth="1" min="35" max="35"/>
    <col width="34" customWidth="1" min="36" max="36"/>
    <col width="11" customWidth="1" min="37" max="37"/>
    <col width="11" customWidth="1" min="38" max="38"/>
    <col width="12" customWidth="1" min="39" max="39"/>
    <col width="46" customWidth="1" min="40" max="40"/>
    <col width="17" customWidth="1" min="41" max="41"/>
    <col width="48" customWidth="1" min="42" max="42"/>
    <col width="9" customWidth="1" min="43" max="43"/>
    <col width="17" customWidth="1" min="44" max="44"/>
    <col width="15" customWidth="1" min="45" max="45"/>
    <col width="14" customWidth="1" min="46" max="46"/>
    <col width="17" customWidth="1" min="47" max="47"/>
    <col width="27" customWidth="1" min="48" max="48"/>
    <col width="12" customWidth="1" min="49" max="49"/>
    <col width="9" customWidth="1" min="50" max="50"/>
    <col width="15" customWidth="1" min="51" max="51"/>
    <col width="22" customWidth="1" min="52" max="52"/>
    <col width="48" customWidth="1" min="53" max="53"/>
  </cols>
  <sheetData>
    <row r="1">
      <c r="A1" s="1" t="inlineStr">
        <is>
          <t>name</t>
        </is>
      </c>
      <c r="B1" s="1" t="inlineStr">
        <is>
          <t>unit_id</t>
        </is>
      </c>
      <c r="C1" s="1" t="inlineStr">
        <is>
          <t>tier</t>
        </is>
      </c>
      <c r="D1" s="1" t="inlineStr">
        <is>
          <t>cost_gold</t>
        </is>
      </c>
      <c r="E1" s="1" t="inlineStr">
        <is>
          <t>food</t>
        </is>
      </c>
      <c r="F1" s="1" t="inlineStr">
        <is>
          <t>upgrades_from</t>
        </is>
      </c>
      <c r="G1" s="1" t="inlineStr">
        <is>
          <t>upgrades_to</t>
        </is>
      </c>
      <c r="H1" s="1" t="inlineStr">
        <is>
          <t>traits</t>
        </is>
      </c>
      <c r="I1" s="1" t="inlineStr">
        <is>
          <t>targets</t>
        </is>
      </c>
      <c r="J1" s="1" t="inlineStr">
        <is>
          <t>atk1_min</t>
        </is>
      </c>
      <c r="K1" s="1" t="inlineStr">
        <is>
          <t>atk1_max</t>
        </is>
      </c>
      <c r="L1" s="1" t="inlineStr">
        <is>
          <t>atk1_mean</t>
        </is>
      </c>
      <c r="M1" s="1" t="inlineStr">
        <is>
          <t>atk1_cooldown</t>
        </is>
      </c>
      <c r="N1" s="1" t="inlineStr">
        <is>
          <t>atk1_range</t>
        </is>
      </c>
      <c r="O1" s="1" t="inlineStr">
        <is>
          <t>atk1_type</t>
        </is>
      </c>
      <c r="P1" s="1" t="inlineStr">
        <is>
          <t>atk1_dps</t>
        </is>
      </c>
      <c r="Q1" s="1" t="inlineStr">
        <is>
          <t>atk2_min</t>
        </is>
      </c>
      <c r="R1" s="1" t="inlineStr">
        <is>
          <t>atk2_max</t>
        </is>
      </c>
      <c r="S1" s="1" t="inlineStr">
        <is>
          <t>atk2_mean</t>
        </is>
      </c>
      <c r="T1" s="1" t="inlineStr">
        <is>
          <t>atk2_cooldown</t>
        </is>
      </c>
      <c r="U1" s="1" t="inlineStr">
        <is>
          <t>atk2_range</t>
        </is>
      </c>
      <c r="V1" s="1" t="inlineStr">
        <is>
          <t>atk2_type</t>
        </is>
      </c>
      <c r="W1" s="1" t="inlineStr">
        <is>
          <t>atk2_dps</t>
        </is>
      </c>
      <c r="X1" s="1" t="inlineStr">
        <is>
          <t>splash_targets</t>
        </is>
      </c>
      <c r="Y1" s="1" t="inlineStr">
        <is>
          <t>armour_type</t>
        </is>
      </c>
      <c r="Z1" s="1" t="inlineStr">
        <is>
          <t>armour_value</t>
        </is>
      </c>
      <c r="AA1" s="1" t="inlineStr">
        <is>
          <t>hp</t>
        </is>
      </c>
      <c r="AB1" s="1" t="inlineStr">
        <is>
          <t>cost_lumber</t>
        </is>
      </c>
      <c r="AC1" s="1" t="inlineStr">
        <is>
          <t>atk1_weapon</t>
        </is>
      </c>
      <c r="AD1" s="1" t="inlineStr">
        <is>
          <t>atk1_base</t>
        </is>
      </c>
      <c r="AE1" s="1" t="inlineStr">
        <is>
          <t>atk1_dice</t>
        </is>
      </c>
      <c r="AF1" s="1" t="inlineStr">
        <is>
          <t>atk1_sides</t>
        </is>
      </c>
      <c r="AG1" s="1" t="inlineStr">
        <is>
          <t>atk1_type_resolved</t>
        </is>
      </c>
      <c r="AH1" s="1" t="inlineStr">
        <is>
          <t>base_unit</t>
        </is>
      </c>
      <c r="AI1" s="1" t="inlineStr">
        <is>
          <t>abilities</t>
        </is>
      </c>
      <c r="AJ1" s="1" t="inlineStr">
        <is>
          <t>tooltip</t>
        </is>
      </c>
      <c r="AK1" s="1" t="inlineStr">
        <is>
          <t>atk2_base</t>
        </is>
      </c>
      <c r="AL1" s="1" t="inlineStr">
        <is>
          <t>atk2_dice</t>
        </is>
      </c>
      <c r="AM1" s="1" t="inlineStr">
        <is>
          <t>atk2_sides</t>
        </is>
      </c>
      <c r="AN1" s="1" t="inlineStr">
        <is>
          <t>sources</t>
        </is>
      </c>
      <c r="AO1" s="1" t="inlineStr">
        <is>
          <t>obs_owner_label</t>
        </is>
      </c>
      <c r="AP1" s="1" t="inlineStr">
        <is>
          <t>obs_notes</t>
        </is>
      </c>
      <c r="AQ1" s="1" t="inlineStr">
        <is>
          <t>dps_raw</t>
        </is>
      </c>
      <c r="AR1" s="1" t="inlineStr">
        <is>
          <t>crit_multiplier</t>
        </is>
      </c>
      <c r="AS1" s="1" t="inlineStr">
        <is>
          <t>dps_with_crit</t>
        </is>
      </c>
      <c r="AT1" s="1" t="inlineStr">
        <is>
          <t>dps_per_gold</t>
        </is>
      </c>
      <c r="AU1" s="1" t="inlineStr">
        <is>
          <t>coverage_vs_725</t>
        </is>
      </c>
      <c r="AV1" s="1" t="inlineStr">
        <is>
          <t>dps_per_gold_coverage_adj</t>
        </is>
      </c>
      <c r="AW1" s="1" t="inlineStr">
        <is>
          <t>on_hit_dps</t>
        </is>
      </c>
      <c r="AX1" s="1" t="inlineStr">
        <is>
          <t>dot_dps</t>
        </is>
      </c>
      <c r="AY1" s="1" t="inlineStr">
        <is>
          <t>dps_total_est</t>
        </is>
      </c>
      <c r="AZ1" s="1" t="inlineStr">
        <is>
          <t>dps_per_gold_x_range</t>
        </is>
      </c>
      <c r="BA1" s="1" t="inlineStr">
        <is>
          <t>dps_source</t>
        </is>
      </c>
    </row>
    <row r="2">
      <c r="A2" t="inlineStr">
        <is>
          <t>Lasher</t>
        </is>
      </c>
      <c r="B2" t="inlineStr">
        <is>
          <t>h01A</t>
        </is>
      </c>
      <c r="C2" t="n">
        <v>1</v>
      </c>
      <c r="D2" t="n">
        <v>15</v>
      </c>
      <c r="E2" t="n">
        <v>0</v>
      </c>
      <c r="G2" t="inlineStr">
        <is>
          <t>Batraider</t>
        </is>
      </c>
      <c r="H2" t="inlineStr">
        <is>
          <t>Weak Splash (A020); Air Critical Strike II (A006)</t>
        </is>
      </c>
      <c r="I2" t="inlineStr">
        <is>
          <t>air,enemies,ground,nonancient</t>
        </is>
      </c>
      <c r="J2" t="n">
        <v>26</v>
      </c>
      <c r="K2" t="n">
        <v>26</v>
      </c>
      <c r="L2" t="n">
        <v>26</v>
      </c>
      <c r="M2" t="n">
        <v>0.8</v>
      </c>
      <c r="N2" t="n">
        <v>1000</v>
      </c>
      <c r="O2" t="inlineStr">
        <is>
          <t>magic</t>
        </is>
      </c>
      <c r="P2" t="n">
        <v>32.5</v>
      </c>
      <c r="X2" t="inlineStr">
        <is>
          <t>air,enemies,ground,nonancient</t>
        </is>
      </c>
      <c r="Z2" t="n">
        <v>0</v>
      </c>
      <c r="AA2" t="n">
        <v>1000</v>
      </c>
      <c r="AB2" t="n">
        <v>0</v>
      </c>
      <c r="AC2" t="inlineStr">
        <is>
          <t>msplash</t>
        </is>
      </c>
      <c r="AD2" t="n">
        <v>25</v>
      </c>
      <c r="AE2" t="n">
        <v>1</v>
      </c>
      <c r="AF2" t="n">
        <v>1</v>
      </c>
      <c r="AG2" t="inlineStr">
        <is>
          <t>magic</t>
        </is>
      </c>
      <c r="AH2" t="inlineStr">
        <is>
          <t>hhou</t>
        </is>
      </c>
      <c r="AI2" t="inlineStr">
        <is>
          <t>A028,A020,A006</t>
        </is>
      </c>
      <c r="AJ2" t="inlineStr">
        <is>
          <t>Build Lasher ( Q )</t>
        </is>
      </c>
      <c r="AO2" t="inlineStr">
        <is>
          <t>D1</t>
        </is>
      </c>
      <c r="AP2" t="inlineStr">
        <is>
          <t>AIR CRITICAL STRIKE II identified 2026-09-05 (the Royal Family named the tier: 50% x4). ENTIRE KIT crits 50% x4 vs AIR. At 15g this is 17.13 range-adjusted vs air - comparable to the treant kit's BEST tower, which costs 250g.</t>
        </is>
      </c>
      <c r="AQ2" t="n">
        <v>32.5</v>
      </c>
      <c r="AR2" t="n">
        <v>2.5</v>
      </c>
      <c r="AS2">
        <f>AQ2*AR2</f>
        <v/>
      </c>
      <c r="AT2">
        <f>IF(D2=0,"",AY2/D2)</f>
        <v/>
      </c>
      <c r="AU2">
        <f>(N2/725)^2</f>
        <v/>
      </c>
      <c r="AV2">
        <f>IF(D2=0,"",AT2*AU2)</f>
        <v/>
      </c>
      <c r="AY2">
        <f>AS2+N(AW2)+N(AX2)</f>
        <v/>
      </c>
      <c r="AZ2">
        <f>IF(D2=0,"",AT2*(N2/725))</f>
        <v/>
      </c>
      <c r="BA2" t="inlineStr">
        <is>
          <t>basic attack</t>
        </is>
      </c>
    </row>
    <row r="3">
      <c r="A3" t="inlineStr">
        <is>
          <t>Batraider</t>
        </is>
      </c>
      <c r="B3" t="inlineStr">
        <is>
          <t>h000</t>
        </is>
      </c>
      <c r="C3" t="n">
        <v>2</v>
      </c>
      <c r="D3" t="n">
        <v>35</v>
      </c>
      <c r="E3" t="n">
        <v>0</v>
      </c>
      <c r="F3" t="inlineStr">
        <is>
          <t>Lasher</t>
        </is>
      </c>
      <c r="H3" t="inlineStr">
        <is>
          <t>Air Critical Strike II (A006); Slow Poison I (Aspo)</t>
        </is>
      </c>
      <c r="I3" t="inlineStr">
        <is>
          <t>air,enemies,ground,nonancient</t>
        </is>
      </c>
      <c r="J3" t="n">
        <v>115</v>
      </c>
      <c r="K3" t="n">
        <v>115</v>
      </c>
      <c r="L3" t="n">
        <v>115</v>
      </c>
      <c r="M3" t="n">
        <v>0.8</v>
      </c>
      <c r="N3" t="n">
        <v>800</v>
      </c>
      <c r="O3" t="inlineStr">
        <is>
          <t>magic</t>
        </is>
      </c>
      <c r="P3" t="n">
        <v>143.7</v>
      </c>
      <c r="Z3" t="n">
        <v>0</v>
      </c>
      <c r="AA3" t="n">
        <v>1250</v>
      </c>
      <c r="AB3" t="n">
        <v>0</v>
      </c>
      <c r="AC3" t="inlineStr">
        <is>
          <t>missile</t>
        </is>
      </c>
      <c r="AD3" t="n">
        <v>114</v>
      </c>
      <c r="AE3" t="n">
        <v>1</v>
      </c>
      <c r="AF3" t="n">
        <v>1</v>
      </c>
      <c r="AG3" t="inlineStr">
        <is>
          <t>magic</t>
        </is>
      </c>
      <c r="AH3" t="inlineStr">
        <is>
          <t>hhou</t>
        </is>
      </c>
      <c r="AI3" t="inlineStr">
        <is>
          <t>A028,A006,Aspo</t>
        </is>
      </c>
      <c r="AJ3" t="inlineStr">
        <is>
          <t>U pgrade to Batraider</t>
        </is>
      </c>
      <c r="AO3" t="inlineStr">
        <is>
          <t>D1</t>
        </is>
      </c>
      <c r="AP3" t="inlineStr">
        <is>
          <t>AIR CRITICAL STRIKE II identified 2026-09-05 (the Royal Family named the tier: 50% x4). Highest range-adjusted figure recorded in ANY kit so far (25.94 vs air) - for 35 gold.</t>
        </is>
      </c>
      <c r="AQ3" t="n">
        <v>143.7</v>
      </c>
      <c r="AR3" t="n">
        <v>2.5</v>
      </c>
      <c r="AS3">
        <f>AQ3*AR3</f>
        <v/>
      </c>
      <c r="AT3">
        <f>IF(D3=0,"",AY3/D3)</f>
        <v/>
      </c>
      <c r="AU3">
        <f>(N3/725)^2</f>
        <v/>
      </c>
      <c r="AV3">
        <f>IF(D3=0,"",AT3*AU3)</f>
        <v/>
      </c>
      <c r="AX3" t="n">
        <v>4</v>
      </c>
      <c r="AY3">
        <f>AS3+N(AW3)+N(AX3)</f>
        <v/>
      </c>
      <c r="AZ3">
        <f>IF(D3=0,"",AT3*(N3/725))</f>
        <v/>
      </c>
      <c r="BA3" t="inlineStr">
        <is>
          <t>basic attack</t>
        </is>
      </c>
    </row>
    <row r="4">
      <c r="A4" t="inlineStr">
        <is>
          <t>Slammer</t>
        </is>
      </c>
      <c r="B4" t="inlineStr">
        <is>
          <t>h019</t>
        </is>
      </c>
      <c r="C4" t="n">
        <v>1</v>
      </c>
      <c r="D4" t="n">
        <v>75</v>
      </c>
      <c r="E4" t="n">
        <v>0</v>
      </c>
      <c r="G4" t="inlineStr">
        <is>
          <t>Magical Breakthrough</t>
        </is>
      </c>
      <c r="H4" t="inlineStr">
        <is>
          <t>Cure I (A03U); Air Critical Strike I (A005); Splash (A021)</t>
        </is>
      </c>
      <c r="I4" t="inlineStr">
        <is>
          <t>air,enemies,ground,nonancient</t>
        </is>
      </c>
      <c r="J4" t="n">
        <v>95</v>
      </c>
      <c r="K4" t="n">
        <v>95</v>
      </c>
      <c r="L4" t="n">
        <v>95</v>
      </c>
      <c r="M4" t="n">
        <v>0.9</v>
      </c>
      <c r="N4" t="n">
        <v>900</v>
      </c>
      <c r="O4" t="inlineStr">
        <is>
          <t>magic</t>
        </is>
      </c>
      <c r="P4" t="n">
        <v>105.6</v>
      </c>
      <c r="X4" t="inlineStr">
        <is>
          <t>air,enemies,ground,nonancient</t>
        </is>
      </c>
      <c r="Z4" t="n">
        <v>0</v>
      </c>
      <c r="AA4" t="n">
        <v>1500</v>
      </c>
      <c r="AB4" t="n">
        <v>0</v>
      </c>
      <c r="AC4" t="inlineStr">
        <is>
          <t>msplash</t>
        </is>
      </c>
      <c r="AD4" t="n">
        <v>94</v>
      </c>
      <c r="AE4" t="n">
        <v>1</v>
      </c>
      <c r="AF4" t="n">
        <v>1</v>
      </c>
      <c r="AG4" t="inlineStr">
        <is>
          <t>magic</t>
        </is>
      </c>
      <c r="AH4" t="inlineStr">
        <is>
          <t>hhou</t>
        </is>
      </c>
      <c r="AI4" t="inlineStr">
        <is>
          <t>A03U,A028,A005,A021</t>
        </is>
      </c>
      <c r="AJ4" t="inlineStr">
        <is>
          <t>Build Slammer ( W )</t>
        </is>
      </c>
      <c r="AO4" t="inlineStr">
        <is>
          <t>D3</t>
        </is>
      </c>
      <c r="AP4" t="inlineStr">
        <is>
          <t>NOTE the weaker air crit: x1.5 where the rest of the kit is x4. Only 5.61 range-adjusted vs air. Bought for the HEALING SPELL, not for damage.</t>
        </is>
      </c>
      <c r="AQ4" t="n">
        <v>105.6</v>
      </c>
      <c r="AR4" t="n">
        <v>1.25</v>
      </c>
      <c r="AS4">
        <f>AQ4*AR4</f>
        <v/>
      </c>
      <c r="AT4">
        <f>IF(D4=0,"",AY4/D4)</f>
        <v/>
      </c>
      <c r="AU4">
        <f>(N4/725)^2</f>
        <v/>
      </c>
      <c r="AV4">
        <f>IF(D4=0,"",AT4*AU4)</f>
        <v/>
      </c>
      <c r="AY4">
        <f>AS4+N(AW4)+N(AX4)</f>
        <v/>
      </c>
      <c r="AZ4">
        <f>IF(D4=0,"",AT4*(N4/725))</f>
        <v/>
      </c>
      <c r="BA4" t="inlineStr">
        <is>
          <t>basic attack</t>
        </is>
      </c>
    </row>
    <row r="5">
      <c r="A5" t="inlineStr">
        <is>
          <t>Magical Breakthrough</t>
        </is>
      </c>
      <c r="B5" t="inlineStr">
        <is>
          <t>h01B</t>
        </is>
      </c>
      <c r="C5" t="n">
        <v>2</v>
      </c>
      <c r="D5" t="n">
        <v>155</v>
      </c>
      <c r="E5" t="n">
        <v>0</v>
      </c>
      <c r="F5" t="inlineStr">
        <is>
          <t>Slammer</t>
        </is>
      </c>
      <c r="H5" t="inlineStr">
        <is>
          <t>Cure I (A03U); Area Cure (AIha); Uber Splash (A022); Air Critical Strike II (A006)</t>
        </is>
      </c>
      <c r="I5" t="inlineStr">
        <is>
          <t>air,enemies,ground,nonancient</t>
        </is>
      </c>
      <c r="J5" t="n">
        <v>175</v>
      </c>
      <c r="K5" t="n">
        <v>182</v>
      </c>
      <c r="L5" t="n">
        <v>178.5</v>
      </c>
      <c r="M5" t="n">
        <v>0.85</v>
      </c>
      <c r="N5" t="n">
        <v>900</v>
      </c>
      <c r="O5" t="inlineStr">
        <is>
          <t>magic</t>
        </is>
      </c>
      <c r="P5" t="n">
        <v>210</v>
      </c>
      <c r="X5" t="inlineStr">
        <is>
          <t>air,enemies,ground,nonancient</t>
        </is>
      </c>
      <c r="Z5" t="n">
        <v>0</v>
      </c>
      <c r="AA5" t="n">
        <v>1750</v>
      </c>
      <c r="AB5" t="n">
        <v>0</v>
      </c>
      <c r="AC5" t="inlineStr">
        <is>
          <t>msplash</t>
        </is>
      </c>
      <c r="AD5" t="n">
        <v>174</v>
      </c>
      <c r="AE5" t="n">
        <v>1</v>
      </c>
      <c r="AF5" t="n">
        <v>8</v>
      </c>
      <c r="AG5" t="inlineStr">
        <is>
          <t>magic</t>
        </is>
      </c>
      <c r="AH5" t="inlineStr">
        <is>
          <t>hhou</t>
        </is>
      </c>
      <c r="AI5" t="inlineStr">
        <is>
          <t>A03U,AIha,A028,A022,A006</t>
        </is>
      </c>
      <c r="AJ5" t="inlineStr">
        <is>
          <t>U pgrade to Magical Breakthrough</t>
        </is>
      </c>
      <c r="AO5" t="inlineStr">
        <is>
          <t>D3</t>
        </is>
      </c>
      <c r="AP5" t="inlineStr">
        <is>
          <t>Stats not captured.</t>
        </is>
      </c>
      <c r="AQ5" t="n">
        <v>210</v>
      </c>
      <c r="AR5" t="n">
        <v>2.5</v>
      </c>
      <c r="AS5">
        <f>AQ5*AR5</f>
        <v/>
      </c>
      <c r="AT5">
        <f>IF(D5=0,"",AY5/D5)</f>
        <v/>
      </c>
      <c r="AU5">
        <f>(N5/725)^2</f>
        <v/>
      </c>
      <c r="AV5">
        <f>IF(D5=0,"",AT5*AU5)</f>
        <v/>
      </c>
      <c r="AY5">
        <f>AS5+N(AW5)+N(AX5)</f>
        <v/>
      </c>
      <c r="AZ5">
        <f>IF(D5=0,"",AT5*(N5/725))</f>
        <v/>
      </c>
      <c r="BA5" t="inlineStr">
        <is>
          <t>basic attack</t>
        </is>
      </c>
    </row>
    <row r="6">
      <c r="A6" t="inlineStr">
        <is>
          <t>Shadow</t>
        </is>
      </c>
      <c r="B6" t="inlineStr">
        <is>
          <t>h018</t>
        </is>
      </c>
      <c r="C6" t="n">
        <v>1</v>
      </c>
      <c r="D6" t="n">
        <v>115</v>
      </c>
      <c r="E6" t="n">
        <v>0</v>
      </c>
      <c r="G6" t="inlineStr">
        <is>
          <t>Absolute Zero</t>
        </is>
      </c>
      <c r="H6" t="inlineStr">
        <is>
          <t>Slow Poison I (Aspo)</t>
        </is>
      </c>
      <c r="I6" t="inlineStr">
        <is>
          <t>air,enemies,ground,nonancient</t>
        </is>
      </c>
      <c r="J6" t="n">
        <v>275</v>
      </c>
      <c r="K6" t="n">
        <v>275</v>
      </c>
      <c r="L6" t="n">
        <v>275</v>
      </c>
      <c r="M6" t="n">
        <v>0.9</v>
      </c>
      <c r="N6" t="n">
        <v>700</v>
      </c>
      <c r="O6" t="inlineStr">
        <is>
          <t>magic</t>
        </is>
      </c>
      <c r="P6" t="n">
        <v>305.6</v>
      </c>
      <c r="Z6" t="n">
        <v>0</v>
      </c>
      <c r="AA6" t="n">
        <v>1500</v>
      </c>
      <c r="AB6" t="n">
        <v>0</v>
      </c>
      <c r="AC6" t="inlineStr">
        <is>
          <t>missile</t>
        </is>
      </c>
      <c r="AD6" t="n">
        <v>274</v>
      </c>
      <c r="AE6" t="n">
        <v>1</v>
      </c>
      <c r="AF6" t="n">
        <v>1</v>
      </c>
      <c r="AG6" t="inlineStr">
        <is>
          <t>magic</t>
        </is>
      </c>
      <c r="AH6" t="inlineStr">
        <is>
          <t>hhou</t>
        </is>
      </c>
      <c r="AI6" t="inlineStr">
        <is>
          <t>A028,Aspo</t>
        </is>
      </c>
      <c r="AJ6" t="inlineStr">
        <is>
          <t>Build Shadow ( E )</t>
        </is>
      </c>
      <c r="AO6" t="inlineStr">
        <is>
          <t>D4</t>
        </is>
      </c>
      <c r="AP6" t="inlineStr">
        <is>
          <t>NO crit reported - the first Tempest Hawk tower without the air crit. 7.23 range-adjusted untyped.</t>
        </is>
      </c>
      <c r="AQ6" t="n">
        <v>305.6</v>
      </c>
      <c r="AR6" t="n">
        <v>1</v>
      </c>
      <c r="AS6">
        <f>AQ6*AR6</f>
        <v/>
      </c>
      <c r="AT6">
        <f>IF(D6=0,"",AY6/D6)</f>
        <v/>
      </c>
      <c r="AU6">
        <f>(N6/725)^2</f>
        <v/>
      </c>
      <c r="AV6">
        <f>IF(D6=0,"",AT6*AU6)</f>
        <v/>
      </c>
      <c r="AX6" t="n">
        <v>4</v>
      </c>
      <c r="AY6">
        <f>AS6+N(AW6)+N(AX6)</f>
        <v/>
      </c>
      <c r="AZ6">
        <f>IF(D6=0,"",AT6*(N6/725))</f>
        <v/>
      </c>
      <c r="BA6" t="inlineStr">
        <is>
          <t>basic attack</t>
        </is>
      </c>
    </row>
    <row r="7">
      <c r="A7" t="inlineStr">
        <is>
          <t>Absolute Zero</t>
        </is>
      </c>
      <c r="B7" t="inlineStr">
        <is>
          <t>h005</t>
        </is>
      </c>
      <c r="C7" t="n">
        <v>2</v>
      </c>
      <c r="D7" t="n">
        <v>210</v>
      </c>
      <c r="E7" t="n">
        <v>0</v>
      </c>
      <c r="F7" t="inlineStr">
        <is>
          <t>Shadow</t>
        </is>
      </c>
      <c r="H7" t="inlineStr">
        <is>
          <t>Boss Assassin II (A00R); Air Critical Strike II (A006); Prison of Ice (A02U)</t>
        </is>
      </c>
      <c r="I7" t="inlineStr">
        <is>
          <t>air,enemies,ground,nonancient</t>
        </is>
      </c>
      <c r="J7" t="n">
        <v>2500</v>
      </c>
      <c r="K7" t="n">
        <v>2500</v>
      </c>
      <c r="L7" t="n">
        <v>2500</v>
      </c>
      <c r="M7" t="n">
        <v>4</v>
      </c>
      <c r="N7" t="n">
        <v>900</v>
      </c>
      <c r="O7" t="inlineStr">
        <is>
          <t>magic</t>
        </is>
      </c>
      <c r="P7" t="n">
        <v>625</v>
      </c>
      <c r="Z7" t="n">
        <v>0</v>
      </c>
      <c r="AA7" t="n">
        <v>2000</v>
      </c>
      <c r="AB7" t="n">
        <v>0</v>
      </c>
      <c r="AC7" t="inlineStr">
        <is>
          <t>instant</t>
        </is>
      </c>
      <c r="AD7" t="n">
        <v>2499</v>
      </c>
      <c r="AE7" t="n">
        <v>1</v>
      </c>
      <c r="AF7" t="n">
        <v>1</v>
      </c>
      <c r="AG7" t="inlineStr">
        <is>
          <t>magic</t>
        </is>
      </c>
      <c r="AH7" t="inlineStr">
        <is>
          <t>hhou</t>
        </is>
      </c>
      <c r="AI7" t="inlineStr">
        <is>
          <t>A00R,A028,A006,A02U</t>
        </is>
      </c>
      <c r="AJ7" t="inlineStr">
        <is>
          <t>U pgrade to Absolute Zero</t>
        </is>
      </c>
      <c r="AO7" t="inlineStr">
        <is>
          <t>D4</t>
        </is>
      </c>
      <c r="AP7" t="inlineStr">
        <is>
          <t>AIR CRITICAL STRIKE II identified 2026-09-05 (the Royal Family named the tier: 50% x4). UPGRADE OF SHADOW (owner-confirmed 2026-09-05). THE ANTI-BOSS TOWER, and it ties the armour-type data together: wave 5 (a BOSS wave) was observed with armour type "hero", and this tower does x8 vs heroes. So "hero" armour marks the boss and this is the built answer to it. THE FREEZE IS THE HEADLINE: 3.5s freeze on a 2.5s attack cycle = 1.4x uptime = PERMANENT lockdown of a single target, which on a boss is a hard counter rather than a damage boost. 2500 per hit is the largest single hit recorded in any kit. CONFIRMED 2026-09-05: the x8 hero line is Boss Assassin II, whose chance is 50% - so the 26.60 figure is no longer provisional.</t>
        </is>
      </c>
      <c r="AQ7" t="n">
        <v>625</v>
      </c>
      <c r="AR7" t="n">
        <v>2.5</v>
      </c>
      <c r="AS7">
        <f>AQ7*AR7</f>
        <v/>
      </c>
      <c r="AT7">
        <f>IF(D7=0,"",AY7/D7)</f>
        <v/>
      </c>
      <c r="AU7">
        <f>(N7/725)^2</f>
        <v/>
      </c>
      <c r="AV7">
        <f>IF(D7=0,"",AT7*AU7)</f>
        <v/>
      </c>
      <c r="AY7">
        <f>AS7+N(AW7)+N(AX7)</f>
        <v/>
      </c>
      <c r="AZ7">
        <f>IF(D7=0,"",AT7*(N7/725))</f>
        <v/>
      </c>
      <c r="BA7" t="inlineStr">
        <is>
          <t>basic attack</t>
        </is>
      </c>
    </row>
    <row r="8">
      <c r="A8" t="inlineStr">
        <is>
          <t>Judgement Fire</t>
        </is>
      </c>
      <c r="B8" t="inlineStr">
        <is>
          <t>h01M</t>
        </is>
      </c>
      <c r="C8" t="n">
        <v>1</v>
      </c>
      <c r="D8" t="n">
        <v>400</v>
      </c>
      <c r="E8" t="n">
        <v>0</v>
      </c>
      <c r="H8" t="inlineStr">
        <is>
          <t>Uber Splash (A022); Air Critical Strike I (A005); Apxf (Apxf); Phoenix Fire (Amgr)</t>
        </is>
      </c>
      <c r="I8" t="inlineStr">
        <is>
          <t>air,enemies,ground,nonancient</t>
        </is>
      </c>
      <c r="J8" t="n">
        <v>875</v>
      </c>
      <c r="K8" t="n">
        <v>881</v>
      </c>
      <c r="L8" t="n">
        <v>878</v>
      </c>
      <c r="M8" t="n">
        <v>1.35</v>
      </c>
      <c r="N8" t="n">
        <v>500</v>
      </c>
      <c r="O8" t="inlineStr">
        <is>
          <t>magic</t>
        </is>
      </c>
      <c r="P8" t="n">
        <v>650.4</v>
      </c>
      <c r="X8" t="inlineStr">
        <is>
          <t>air,enemies,ground,nonancient</t>
        </is>
      </c>
      <c r="Z8" t="n">
        <v>0</v>
      </c>
      <c r="AA8" t="n">
        <v>2500</v>
      </c>
      <c r="AB8" t="n">
        <v>0</v>
      </c>
      <c r="AC8" t="inlineStr">
        <is>
          <t>msplash</t>
        </is>
      </c>
      <c r="AD8" t="n">
        <v>874</v>
      </c>
      <c r="AE8" t="n">
        <v>1</v>
      </c>
      <c r="AF8" t="n">
        <v>7</v>
      </c>
      <c r="AG8" t="inlineStr">
        <is>
          <t>magic</t>
        </is>
      </c>
      <c r="AH8" t="inlineStr">
        <is>
          <t>hhou</t>
        </is>
      </c>
      <c r="AI8" t="inlineStr">
        <is>
          <t>A028,A022,A005,Apxf,Amgr</t>
        </is>
      </c>
      <c r="AJ8" t="inlineStr">
        <is>
          <t>Build Judgement Fire ( R )</t>
        </is>
      </c>
      <c r="AO8" t="inlineStr">
        <is>
          <t>D5</t>
        </is>
      </c>
      <c r="AP8" t="inlineStr">
        <is>
          <t>Convergent unlock - needs BOTH T3 and T4 lines upgraded.</t>
        </is>
      </c>
      <c r="AQ8" t="n">
        <v>650.4</v>
      </c>
      <c r="AR8" t="n">
        <v>1.25</v>
      </c>
      <c r="AS8">
        <f>AQ8*AR8</f>
        <v/>
      </c>
      <c r="AT8">
        <f>IF(D8=0,"",AY8/D8)</f>
        <v/>
      </c>
      <c r="AU8">
        <f>(N8/725)^2</f>
        <v/>
      </c>
      <c r="AV8">
        <f>IF(D8=0,"",AT8*AU8)</f>
        <v/>
      </c>
      <c r="AY8">
        <f>AS8+N(AW8)+N(AX8)</f>
        <v/>
      </c>
      <c r="AZ8">
        <f>IF(D8=0,"",AT8*(N8/725))</f>
        <v/>
      </c>
      <c r="BA8" t="inlineStr">
        <is>
          <t>basic attack</t>
        </is>
      </c>
    </row>
    <row r="9">
      <c r="A9" t="inlineStr">
        <is>
          <t>Baby Dragon Den</t>
        </is>
      </c>
      <c r="B9" t="inlineStr">
        <is>
          <t>h01I</t>
        </is>
      </c>
      <c r="C9" t="n">
        <v>1</v>
      </c>
      <c r="D9" t="n">
        <v>50</v>
      </c>
      <c r="E9" t="n">
        <v>0</v>
      </c>
      <c r="H9" t="inlineStr">
        <is>
          <t>Weak Splash (A020); Air Critical Strike II (A006)</t>
        </is>
      </c>
      <c r="I9" t="inlineStr">
        <is>
          <t>air,enemies,ground,nonancient</t>
        </is>
      </c>
      <c r="J9" t="n">
        <v>85</v>
      </c>
      <c r="K9" t="n">
        <v>85</v>
      </c>
      <c r="L9" t="n">
        <v>85</v>
      </c>
      <c r="M9" t="n">
        <v>0.8</v>
      </c>
      <c r="N9" t="n">
        <v>800</v>
      </c>
      <c r="O9" t="inlineStr">
        <is>
          <t>magic</t>
        </is>
      </c>
      <c r="P9" t="n">
        <v>106.2</v>
      </c>
      <c r="X9" t="inlineStr">
        <is>
          <t>air,enemies,ground,nonancient</t>
        </is>
      </c>
      <c r="Z9" t="n">
        <v>1</v>
      </c>
      <c r="AA9" t="n">
        <v>1250</v>
      </c>
      <c r="AB9" t="n">
        <v>0</v>
      </c>
      <c r="AC9" t="inlineStr">
        <is>
          <t>msplash</t>
        </is>
      </c>
      <c r="AD9" t="n">
        <v>84</v>
      </c>
      <c r="AE9" t="n">
        <v>1</v>
      </c>
      <c r="AF9" t="n">
        <v>1</v>
      </c>
      <c r="AG9" t="inlineStr">
        <is>
          <t>magic</t>
        </is>
      </c>
      <c r="AH9" t="inlineStr">
        <is>
          <t>hhou</t>
        </is>
      </c>
      <c r="AI9" t="inlineStr">
        <is>
          <t>A028,A020,A006</t>
        </is>
      </c>
      <c r="AJ9" t="inlineStr">
        <is>
          <t>Build Baby Dragon Den ( A )</t>
        </is>
      </c>
      <c r="AO9" t="inlineStr">
        <is>
          <t>D2</t>
        </is>
      </c>
      <c r="AP9" t="inlineStr">
        <is>
          <t>AIR CRITICAL STRIKE II identified 2026-09-05 (the Royal Family named the tier: 50% x4). T2 forks into an exclusive choice, same shape as the treant T2.</t>
        </is>
      </c>
      <c r="AQ9" t="n">
        <v>106.2</v>
      </c>
      <c r="AR9" t="n">
        <v>2.5</v>
      </c>
      <c r="AS9">
        <f>AQ9*AR9</f>
        <v/>
      </c>
      <c r="AT9">
        <f>IF(D9=0,"",AY9/D9)</f>
        <v/>
      </c>
      <c r="AU9">
        <f>(N9/725)^2</f>
        <v/>
      </c>
      <c r="AV9">
        <f>IF(D9=0,"",AT9*AU9)</f>
        <v/>
      </c>
      <c r="AY9">
        <f>AS9+N(AW9)+N(AX9)</f>
        <v/>
      </c>
      <c r="AZ9">
        <f>IF(D9=0,"",AT9*(N9/725))</f>
        <v/>
      </c>
      <c r="BA9" t="inlineStr">
        <is>
          <t>basic attack</t>
        </is>
      </c>
    </row>
    <row r="10">
      <c r="A10" t="inlineStr">
        <is>
          <t>Siamese Dragon</t>
        </is>
      </c>
      <c r="B10" t="inlineStr">
        <is>
          <t>h01G</t>
        </is>
      </c>
      <c r="C10" t="n">
        <v>1</v>
      </c>
      <c r="D10" t="n">
        <v>175</v>
      </c>
      <c r="E10" t="n">
        <v>0</v>
      </c>
      <c r="G10" t="inlineStr">
        <is>
          <t>Garrison Eraser</t>
        </is>
      </c>
      <c r="H10" t="inlineStr">
        <is>
          <t>Splash (A021); Frost I (Afra)</t>
        </is>
      </c>
      <c r="I10" t="inlineStr">
        <is>
          <t>air,enemies,ground,nonancient</t>
        </is>
      </c>
      <c r="J10" t="n">
        <v>201</v>
      </c>
      <c r="K10" t="n">
        <v>205</v>
      </c>
      <c r="L10" t="n">
        <v>203</v>
      </c>
      <c r="M10" t="n">
        <v>0.8</v>
      </c>
      <c r="N10" t="n">
        <v>750</v>
      </c>
      <c r="O10" t="inlineStr">
        <is>
          <t>magic</t>
        </is>
      </c>
      <c r="P10" t="n">
        <v>253.7</v>
      </c>
      <c r="X10" t="inlineStr">
        <is>
          <t>air,enemies,ground,nonancient</t>
        </is>
      </c>
      <c r="Z10" t="n">
        <v>1</v>
      </c>
      <c r="AA10" t="n">
        <v>1500</v>
      </c>
      <c r="AB10" t="n">
        <v>0</v>
      </c>
      <c r="AC10" t="inlineStr">
        <is>
          <t>msplash</t>
        </is>
      </c>
      <c r="AD10" t="n">
        <v>200</v>
      </c>
      <c r="AE10" t="n">
        <v>1</v>
      </c>
      <c r="AF10" t="n">
        <v>5</v>
      </c>
      <c r="AG10" t="inlineStr">
        <is>
          <t>magic</t>
        </is>
      </c>
      <c r="AH10" t="inlineStr">
        <is>
          <t>hhou</t>
        </is>
      </c>
      <c r="AI10" t="inlineStr">
        <is>
          <t>A028,A021,Afra</t>
        </is>
      </c>
      <c r="AJ10" t="inlineStr">
        <is>
          <t>Build Siamese Dragon ( S )</t>
        </is>
      </c>
      <c r="AO10" t="inlineStr">
        <is>
          <t>D6</t>
        </is>
      </c>
      <c r="AP10" t="inlineStr">
        <is>
          <t>Stats not captured.</t>
        </is>
      </c>
      <c r="AQ10" t="n">
        <v>253.7</v>
      </c>
      <c r="AR10" t="n">
        <v>1</v>
      </c>
      <c r="AS10">
        <f>AQ10*AR10</f>
        <v/>
      </c>
      <c r="AT10">
        <f>IF(D10=0,"",AY10/D10)</f>
        <v/>
      </c>
      <c r="AU10">
        <f>(N10/725)^2</f>
        <v/>
      </c>
      <c r="AV10">
        <f>IF(D10=0,"",AT10*AU10)</f>
        <v/>
      </c>
      <c r="AY10">
        <f>AS10+N(AW10)+N(AX10)</f>
        <v/>
      </c>
      <c r="AZ10">
        <f>IF(D10=0,"",AT10*(N10/725))</f>
        <v/>
      </c>
      <c r="BA10" t="inlineStr">
        <is>
          <t>basic attack</t>
        </is>
      </c>
    </row>
    <row r="11">
      <c r="A11" t="inlineStr">
        <is>
          <t>Garrison Eraser</t>
        </is>
      </c>
      <c r="B11" t="inlineStr">
        <is>
          <t>h01H</t>
        </is>
      </c>
      <c r="C11" t="n">
        <v>2</v>
      </c>
      <c r="D11" t="n">
        <v>300</v>
      </c>
      <c r="E11" t="n">
        <v>0</v>
      </c>
      <c r="F11" t="inlineStr">
        <is>
          <t>Siamese Dragon</t>
        </is>
      </c>
      <c r="H11" t="inlineStr">
        <is>
          <t>Fortitude (A047); Vindicator I (A02Y); Slow Poison II (A008)</t>
        </is>
      </c>
      <c r="I11" t="inlineStr">
        <is>
          <t>enemies,ground,nonancient</t>
        </is>
      </c>
      <c r="J11" t="n">
        <v>1101</v>
      </c>
      <c r="K11" t="n">
        <v>1110</v>
      </c>
      <c r="L11" t="n">
        <v>1105.5</v>
      </c>
      <c r="M11" t="n">
        <v>0.4</v>
      </c>
      <c r="N11" t="n">
        <v>700</v>
      </c>
      <c r="O11" t="inlineStr">
        <is>
          <t>siege</t>
        </is>
      </c>
      <c r="P11" t="n">
        <v>2763.7</v>
      </c>
      <c r="Q11" t="n">
        <v>571</v>
      </c>
      <c r="R11" t="n">
        <v>580</v>
      </c>
      <c r="S11" t="n">
        <v>575.5</v>
      </c>
      <c r="T11" t="n">
        <v>0.4</v>
      </c>
      <c r="U11" t="n">
        <v>700</v>
      </c>
      <c r="V11" t="inlineStr">
        <is>
          <t>pierce</t>
        </is>
      </c>
      <c r="W11" t="n">
        <v>1438.7</v>
      </c>
      <c r="AA11" t="n">
        <v>2500</v>
      </c>
      <c r="AB11" t="n">
        <v>0</v>
      </c>
      <c r="AC11" t="inlineStr">
        <is>
          <t>missile</t>
        </is>
      </c>
      <c r="AD11" t="n">
        <v>1100</v>
      </c>
      <c r="AE11" t="n">
        <v>1</v>
      </c>
      <c r="AF11" t="n">
        <v>10</v>
      </c>
      <c r="AG11" t="inlineStr">
        <is>
          <t>siege</t>
        </is>
      </c>
      <c r="AH11" t="inlineStr">
        <is>
          <t>hhou</t>
        </is>
      </c>
      <c r="AI11" t="inlineStr">
        <is>
          <t>A047,A02Y,A028,A008</t>
        </is>
      </c>
      <c r="AJ11" t="inlineStr">
        <is>
          <t>U pgrade to Garrison Eraser</t>
        </is>
      </c>
      <c r="AK11" t="n">
        <v>570</v>
      </c>
      <c r="AL11" t="n">
        <v>1</v>
      </c>
      <c r="AM11" t="n">
        <v>10</v>
      </c>
      <c r="AO11" t="inlineStr">
        <is>
          <t>D6</t>
        </is>
      </c>
      <c r="AP11" t="inlineStr">
        <is>
          <t>Name only.</t>
        </is>
      </c>
      <c r="AQ11" t="n">
        <v>2763.7</v>
      </c>
      <c r="AR11" t="n">
        <v>2.25</v>
      </c>
      <c r="AS11">
        <f>AQ11*AR11</f>
        <v/>
      </c>
      <c r="AT11">
        <f>IF(D11=0,"",AY11/D11)</f>
        <v/>
      </c>
      <c r="AU11">
        <f>(N11/725)^2</f>
        <v/>
      </c>
      <c r="AV11">
        <f>IF(D11=0,"",AT11*AU11)</f>
        <v/>
      </c>
      <c r="AX11" t="n">
        <v>36</v>
      </c>
      <c r="AY11">
        <f>AS11+N(AW11)+N(AX11)</f>
        <v/>
      </c>
      <c r="AZ11">
        <f>IF(D11=0,"",AT11*(N11/725))</f>
        <v/>
      </c>
      <c r="BA11" t="inlineStr">
        <is>
          <t>basic attack</t>
        </is>
      </c>
    </row>
    <row r="12">
      <c r="A12" t="inlineStr">
        <is>
          <t>Poison Shrine</t>
        </is>
      </c>
      <c r="B12" t="inlineStr">
        <is>
          <t>h01F</t>
        </is>
      </c>
      <c r="C12" t="n">
        <v>1</v>
      </c>
      <c r="D12" t="n">
        <v>235</v>
      </c>
      <c r="E12" t="n">
        <v>0</v>
      </c>
      <c r="G12" t="inlineStr">
        <is>
          <t>Poison Dragon</t>
        </is>
      </c>
      <c r="H12" t="inlineStr">
        <is>
          <t>Air Critical Strike II (A006); Slow Poison II (A008)</t>
        </is>
      </c>
      <c r="I12" t="inlineStr">
        <is>
          <t>air,enemies,ground,nonancient</t>
        </is>
      </c>
      <c r="J12" t="n">
        <v>190</v>
      </c>
      <c r="K12" t="n">
        <v>190</v>
      </c>
      <c r="L12" t="n">
        <v>190</v>
      </c>
      <c r="M12" t="n">
        <v>0.5</v>
      </c>
      <c r="N12" t="n">
        <v>1100</v>
      </c>
      <c r="O12" t="inlineStr">
        <is>
          <t>magic</t>
        </is>
      </c>
      <c r="P12" t="n">
        <v>380</v>
      </c>
      <c r="Z12" t="n">
        <v>1</v>
      </c>
      <c r="AA12" t="n">
        <v>2000</v>
      </c>
      <c r="AB12" t="n">
        <v>0</v>
      </c>
      <c r="AC12" t="inlineStr">
        <is>
          <t>missile</t>
        </is>
      </c>
      <c r="AD12" t="n">
        <v>189</v>
      </c>
      <c r="AE12" t="n">
        <v>1</v>
      </c>
      <c r="AF12" t="n">
        <v>1</v>
      </c>
      <c r="AG12" t="inlineStr">
        <is>
          <t>magic</t>
        </is>
      </c>
      <c r="AH12" t="inlineStr">
        <is>
          <t>hhou</t>
        </is>
      </c>
      <c r="AI12" t="inlineStr">
        <is>
          <t>A028,A006,A008</t>
        </is>
      </c>
      <c r="AJ12" t="inlineStr">
        <is>
          <t>Build Poison Shrine ( D )</t>
        </is>
      </c>
      <c r="AO12" t="inlineStr">
        <is>
          <t>D7</t>
        </is>
      </c>
      <c r="AP12" t="inlineStr">
        <is>
          <t>Stats not captured. NOTE: the two T2 branches are NOT dead ends - each opens its own late tower, so the "exclusive fork" may be a fork in TIMING rather than a permanent lockout. Unverified.</t>
        </is>
      </c>
      <c r="AQ12" t="n">
        <v>380</v>
      </c>
      <c r="AR12" t="n">
        <v>2.5</v>
      </c>
      <c r="AS12">
        <f>AQ12*AR12</f>
        <v/>
      </c>
      <c r="AT12">
        <f>IF(D12=0,"",AY12/D12)</f>
        <v/>
      </c>
      <c r="AU12">
        <f>(N12/725)^2</f>
        <v/>
      </c>
      <c r="AV12">
        <f>IF(D12=0,"",AT12*AU12)</f>
        <v/>
      </c>
      <c r="AX12" t="n">
        <v>36</v>
      </c>
      <c r="AY12">
        <f>AS12+N(AW12)+N(AX12)</f>
        <v/>
      </c>
      <c r="AZ12">
        <f>IF(D12=0,"",AT12*(N12/725))</f>
        <v/>
      </c>
      <c r="BA12" t="inlineStr">
        <is>
          <t>basic attack</t>
        </is>
      </c>
    </row>
    <row r="13">
      <c r="A13" t="inlineStr">
        <is>
          <t>Poison Dragon</t>
        </is>
      </c>
      <c r="B13" t="inlineStr">
        <is>
          <t>h01E</t>
        </is>
      </c>
      <c r="C13" t="n">
        <v>2</v>
      </c>
      <c r="D13" t="n">
        <v>320</v>
      </c>
      <c r="E13" t="n">
        <v>0</v>
      </c>
      <c r="F13" t="inlineStr">
        <is>
          <t>Poison Shrine</t>
        </is>
      </c>
      <c r="H13" t="inlineStr">
        <is>
          <t>(Dummy Ability - Life Steal) (Aabr); Slow Poison II (A008)</t>
        </is>
      </c>
      <c r="I13" t="inlineStr">
        <is>
          <t>air,enemies,ground,nonancient</t>
        </is>
      </c>
      <c r="J13" t="n">
        <v>2400</v>
      </c>
      <c r="K13" t="n">
        <v>2400</v>
      </c>
      <c r="L13" t="n">
        <v>2400</v>
      </c>
      <c r="M13" t="n">
        <v>1.8</v>
      </c>
      <c r="N13" t="n">
        <v>1200</v>
      </c>
      <c r="O13" t="inlineStr">
        <is>
          <t>chaos</t>
        </is>
      </c>
      <c r="P13" t="n">
        <v>1333.3</v>
      </c>
      <c r="Z13" t="n">
        <v>0</v>
      </c>
      <c r="AA13" t="n">
        <v>2250</v>
      </c>
      <c r="AB13" t="n">
        <v>0</v>
      </c>
      <c r="AC13" t="inlineStr">
        <is>
          <t>instant</t>
        </is>
      </c>
      <c r="AD13" t="n">
        <v>2399</v>
      </c>
      <c r="AE13" t="n">
        <v>1</v>
      </c>
      <c r="AF13" t="n">
        <v>1</v>
      </c>
      <c r="AG13" t="inlineStr">
        <is>
          <t>chaos</t>
        </is>
      </c>
      <c r="AH13" t="inlineStr">
        <is>
          <t>hhou</t>
        </is>
      </c>
      <c r="AI13" t="inlineStr">
        <is>
          <t>Aabr,A028,A008</t>
        </is>
      </c>
      <c r="AJ13" t="inlineStr">
        <is>
          <t>U pgrade to Poison Dragon</t>
        </is>
      </c>
      <c r="AO13" t="inlineStr">
        <is>
          <t>D7</t>
        </is>
      </c>
      <c r="AP13" t="inlineStr">
        <is>
          <t>Name only.</t>
        </is>
      </c>
      <c r="AQ13" t="n">
        <v>1333.3</v>
      </c>
      <c r="AR13" t="n">
        <v>1</v>
      </c>
      <c r="AS13">
        <f>AQ13*AR13</f>
        <v/>
      </c>
      <c r="AT13">
        <f>IF(D13=0,"",AY13/D13)</f>
        <v/>
      </c>
      <c r="AU13">
        <f>(N13/725)^2</f>
        <v/>
      </c>
      <c r="AV13">
        <f>IF(D13=0,"",AT13*AU13)</f>
        <v/>
      </c>
      <c r="AX13" t="n">
        <v>36</v>
      </c>
      <c r="AY13">
        <f>AS13+N(AW13)+N(AX13)</f>
        <v/>
      </c>
      <c r="AZ13">
        <f>IF(D13=0,"",AT13*(N13/725))</f>
        <v/>
      </c>
      <c r="BA13" t="inlineStr">
        <is>
          <t>basic attack</t>
        </is>
      </c>
    </row>
    <row r="14">
      <c r="A14" t="inlineStr">
        <is>
          <t>Frozen Reaper</t>
        </is>
      </c>
      <c r="B14" t="inlineStr">
        <is>
          <t>h01N</t>
        </is>
      </c>
      <c r="C14" t="n">
        <v>1</v>
      </c>
      <c r="D14" t="n">
        <v>500</v>
      </c>
      <c r="E14" t="n">
        <v>0</v>
      </c>
      <c r="H14" t="inlineStr">
        <is>
          <t>Splash (A021); Versatile Critical Strike I (A004); Frost II (A002)</t>
        </is>
      </c>
      <c r="I14" t="inlineStr">
        <is>
          <t>air,enemies,ground,nonancient</t>
        </is>
      </c>
      <c r="J14" t="n">
        <v>699</v>
      </c>
      <c r="K14" t="n">
        <v>704</v>
      </c>
      <c r="L14" t="n">
        <v>701.5</v>
      </c>
      <c r="M14" t="n">
        <v>0.6</v>
      </c>
      <c r="N14" t="n">
        <v>700</v>
      </c>
      <c r="O14" t="inlineStr">
        <is>
          <t>magic</t>
        </is>
      </c>
      <c r="P14" t="n">
        <v>1169.2</v>
      </c>
      <c r="X14" t="inlineStr">
        <is>
          <t>air,enemies,ground,nonancient</t>
        </is>
      </c>
      <c r="Z14" t="n">
        <v>3</v>
      </c>
      <c r="AA14" t="n">
        <v>2500</v>
      </c>
      <c r="AB14" t="n">
        <v>0</v>
      </c>
      <c r="AC14" t="inlineStr">
        <is>
          <t>msplash</t>
        </is>
      </c>
      <c r="AD14" t="n">
        <v>698</v>
      </c>
      <c r="AE14" t="n">
        <v>1</v>
      </c>
      <c r="AF14" t="n">
        <v>6</v>
      </c>
      <c r="AG14" t="inlineStr">
        <is>
          <t>magic</t>
        </is>
      </c>
      <c r="AH14" t="inlineStr">
        <is>
          <t>hhou</t>
        </is>
      </c>
      <c r="AI14" t="inlineStr">
        <is>
          <t>A028,A021,A004,A002</t>
        </is>
      </c>
      <c r="AJ14" t="inlineStr">
        <is>
          <t>Build Frozen Reaper ( F )</t>
        </is>
      </c>
      <c r="AO14" t="inlineStr">
        <is>
          <t>D8</t>
        </is>
      </c>
      <c r="AP14" t="inlineStr">
        <is>
          <t>Convergent unlock across BOTH T2 branches.</t>
        </is>
      </c>
      <c r="AQ14" t="n">
        <v>1169.2</v>
      </c>
      <c r="AR14" t="n">
        <v>1.52</v>
      </c>
      <c r="AS14">
        <f>AQ14*AR14</f>
        <v/>
      </c>
      <c r="AT14">
        <f>IF(D14=0,"",AY14/D14)</f>
        <v/>
      </c>
      <c r="AU14">
        <f>(N14/725)^2</f>
        <v/>
      </c>
      <c r="AV14">
        <f>IF(D14=0,"",AT14*AU14)</f>
        <v/>
      </c>
      <c r="AY14">
        <f>AS14+N(AW14)+N(AX14)</f>
        <v/>
      </c>
      <c r="AZ14">
        <f>IF(D14=0,"",AT14*(N14/725))</f>
        <v/>
      </c>
      <c r="BA14" t="inlineStr">
        <is>
          <t>basic attack</t>
        </is>
      </c>
    </row>
    <row r="15">
      <c r="A15" t="inlineStr">
        <is>
          <t>Teenage Roc</t>
        </is>
      </c>
      <c r="B15" t="inlineStr">
        <is>
          <t>h01D</t>
        </is>
      </c>
      <c r="C15" t="n">
        <v>1</v>
      </c>
      <c r="D15" t="n">
        <v>195</v>
      </c>
      <c r="E15" t="n">
        <v>0</v>
      </c>
      <c r="G15" t="inlineStr">
        <is>
          <t>Havocwing</t>
        </is>
      </c>
      <c r="H15" t="inlineStr">
        <is>
          <t>Bash I (ANbh); Air Critical Strike I (A005); Slow Poison I (Aspo)</t>
        </is>
      </c>
      <c r="I15" t="inlineStr">
        <is>
          <t>air,enemies,ground,nonancient</t>
        </is>
      </c>
      <c r="J15" t="n">
        <v>326</v>
      </c>
      <c r="K15" t="n">
        <v>326</v>
      </c>
      <c r="L15" t="n">
        <v>326</v>
      </c>
      <c r="M15" t="n">
        <v>0.5</v>
      </c>
      <c r="N15" t="n">
        <v>125</v>
      </c>
      <c r="O15" t="inlineStr">
        <is>
          <t>chaos</t>
        </is>
      </c>
      <c r="P15" t="n">
        <v>652</v>
      </c>
      <c r="Z15" t="n">
        <v>2</v>
      </c>
      <c r="AA15" t="n">
        <v>1750</v>
      </c>
      <c r="AB15" t="n">
        <v>0</v>
      </c>
      <c r="AC15" t="inlineStr">
        <is>
          <t>normal</t>
        </is>
      </c>
      <c r="AD15" t="n">
        <v>325</v>
      </c>
      <c r="AE15" t="n">
        <v>1</v>
      </c>
      <c r="AF15" t="n">
        <v>1</v>
      </c>
      <c r="AG15" t="inlineStr">
        <is>
          <t>chaos</t>
        </is>
      </c>
      <c r="AH15" t="inlineStr">
        <is>
          <t>hhou</t>
        </is>
      </c>
      <c r="AI15" t="inlineStr">
        <is>
          <t>ANbh,A005,A028,Aspo</t>
        </is>
      </c>
      <c r="AJ15" t="inlineStr">
        <is>
          <t>Build Teenage Roc ( Z )</t>
        </is>
      </c>
      <c r="AO15" t="inlineStr">
        <is>
          <t>D9</t>
        </is>
      </c>
      <c r="AP15" t="inlineStr">
        <is>
          <t>CORRECTED 2026-09-05: "Tempest Base" is a TOWER, and this hero has NO base upgrade (owner). An earlier note here read it as the hero base acting as a tech gate, by analogy with the Royal Family's Royal Base II - that analogy was wrong. Base upgrades are a PER-HERO feature, not a system rule. FIVE requirements - the widest gate recorded in any kit. Owner wrote "Teannage roc".</t>
        </is>
      </c>
      <c r="AQ15" t="n">
        <v>652</v>
      </c>
      <c r="AR15" t="n">
        <v>1.25</v>
      </c>
      <c r="AS15">
        <f>AQ15*AR15</f>
        <v/>
      </c>
      <c r="AT15">
        <f>IF(D15=0,"",AY15/D15)</f>
        <v/>
      </c>
      <c r="AU15">
        <f>(N15/725)^2</f>
        <v/>
      </c>
      <c r="AV15">
        <f>IF(D15=0,"",AT15*AU15)</f>
        <v/>
      </c>
      <c r="AW15" t="n">
        <v>20</v>
      </c>
      <c r="AX15" t="n">
        <v>4</v>
      </c>
      <c r="AY15">
        <f>AS15+N(AW15)+N(AX15)</f>
        <v/>
      </c>
      <c r="AZ15">
        <f>IF(D15=0,"",AT15*(N15/725))</f>
        <v/>
      </c>
      <c r="BA15" t="inlineStr">
        <is>
          <t>basic attack</t>
        </is>
      </c>
    </row>
    <row r="16">
      <c r="A16" t="inlineStr">
        <is>
          <t>Havocwing</t>
        </is>
      </c>
      <c r="B16" t="inlineStr">
        <is>
          <t>h01C</t>
        </is>
      </c>
      <c r="C16" t="n">
        <v>2</v>
      </c>
      <c r="D16" t="n">
        <v>230</v>
      </c>
      <c r="E16" t="n">
        <v>0</v>
      </c>
      <c r="F16" t="inlineStr">
        <is>
          <t>Teenage Roc</t>
        </is>
      </c>
      <c r="H16" t="inlineStr">
        <is>
          <t>Thresh Arrow (ACca)</t>
        </is>
      </c>
      <c r="I16" t="inlineStr">
        <is>
          <t>air,enemies,ground,nonancient</t>
        </is>
      </c>
      <c r="Z16" t="n">
        <v>3</v>
      </c>
      <c r="AA16" t="n">
        <v>2000</v>
      </c>
      <c r="AO16" t="inlineStr">
        <is>
          <t>D9</t>
        </is>
      </c>
      <c r="AP16" t="inlineStr">
        <is>
          <t>Slot inferred, not observed. The kit rule is "each tower has at most ONE upgrade, and that upgrade unlocks a new tower type" - Havoc Wing is a REQUIREMENT of Death Shrine (T10) and sits between T9 and T10, so it is most likely Teenage Roc's upgrade. VERIFY.</t>
        </is>
      </c>
      <c r="AQ16" t="n">
        <v>316.7</v>
      </c>
      <c r="AR16" t="n">
        <v>1</v>
      </c>
      <c r="AS16">
        <f>AQ16*AR16</f>
        <v/>
      </c>
      <c r="AT16">
        <f>IF(D16=0,"",AY16/D16)</f>
        <v/>
      </c>
      <c r="AU16">
        <f>(N16/725)^2</f>
        <v/>
      </c>
      <c r="AV16">
        <f>IF(D16=0,"",AT16*AU16)</f>
        <v/>
      </c>
      <c r="AY16">
        <f>AS16+N(AW16)+N(AX16)</f>
        <v/>
      </c>
      <c r="AZ16">
        <f>IF(D16=0,"",AT16*(N16/725))</f>
        <v/>
      </c>
      <c r="BA16" t="inlineStr">
        <is>
          <t>caster: Thresh Arrow (sustained, mana-limited)</t>
        </is>
      </c>
    </row>
    <row r="17">
      <c r="A17" t="inlineStr">
        <is>
          <t>Death Shrine</t>
        </is>
      </c>
      <c r="B17" t="inlineStr">
        <is>
          <t>h01K</t>
        </is>
      </c>
      <c r="C17" t="n">
        <v>1</v>
      </c>
      <c r="D17" t="n">
        <v>245</v>
      </c>
      <c r="E17" t="n">
        <v>0</v>
      </c>
      <c r="G17" t="inlineStr">
        <is>
          <t>Death Dragon</t>
        </is>
      </c>
      <c r="H17" t="inlineStr">
        <is>
          <t>Air Critical Strike II (A006)</t>
        </is>
      </c>
      <c r="I17" t="inlineStr">
        <is>
          <t>air,enemies,ground,nonancient</t>
        </is>
      </c>
      <c r="J17" t="n">
        <v>400</v>
      </c>
      <c r="K17" t="n">
        <v>400</v>
      </c>
      <c r="L17" t="n">
        <v>400</v>
      </c>
      <c r="M17" t="n">
        <v>1</v>
      </c>
      <c r="N17" t="n">
        <v>800</v>
      </c>
      <c r="O17" t="inlineStr">
        <is>
          <t>magic</t>
        </is>
      </c>
      <c r="P17" t="n">
        <v>400</v>
      </c>
      <c r="Z17" t="n">
        <v>3</v>
      </c>
      <c r="AA17" t="n">
        <v>2500</v>
      </c>
      <c r="AB17" t="n">
        <v>0</v>
      </c>
      <c r="AC17" t="inlineStr">
        <is>
          <t>missile</t>
        </is>
      </c>
      <c r="AD17" t="n">
        <v>399</v>
      </c>
      <c r="AE17" t="n">
        <v>1</v>
      </c>
      <c r="AF17" t="n">
        <v>1</v>
      </c>
      <c r="AG17" t="inlineStr">
        <is>
          <t>magic</t>
        </is>
      </c>
      <c r="AH17" t="inlineStr">
        <is>
          <t>hhou</t>
        </is>
      </c>
      <c r="AI17" t="inlineStr">
        <is>
          <t>A028,A006</t>
        </is>
      </c>
      <c r="AJ17" t="inlineStr">
        <is>
          <t>Build Death Shrine ( X )</t>
        </is>
      </c>
      <c r="AO17" t="inlineStr">
        <is>
          <t>D10</t>
        </is>
      </c>
      <c r="AP17" t="inlineStr">
        <is>
          <t>CORRECTED 2026-09-05: "Tempest Base" is a TOWER, and this hero has NO base upgrade (owner). An earlier note here read it as the hero base acting as a tech gate, by analogy with the Royal Family's Royal Base II - that analogy was wrong. Base upgrades are a PER-HERO feature, not a system rule. WAVE-GATED at 20, like the treant Warpath. Second confirmation that wave gates are a cross-hero system.</t>
        </is>
      </c>
      <c r="AQ17" t="n">
        <v>400</v>
      </c>
      <c r="AR17" t="n">
        <v>2.5</v>
      </c>
      <c r="AS17">
        <f>AQ17*AR17</f>
        <v/>
      </c>
      <c r="AT17">
        <f>IF(D17=0,"",AY17/D17)</f>
        <v/>
      </c>
      <c r="AU17">
        <f>(N17/725)^2</f>
        <v/>
      </c>
      <c r="AV17">
        <f>IF(D17=0,"",AT17*AU17)</f>
        <v/>
      </c>
      <c r="AY17">
        <f>AS17+N(AW17)+N(AX17)</f>
        <v/>
      </c>
      <c r="AZ17">
        <f>IF(D17=0,"",AT17*(N17/725))</f>
        <v/>
      </c>
      <c r="BA17" t="inlineStr">
        <is>
          <t>basic attack</t>
        </is>
      </c>
    </row>
    <row r="18">
      <c r="A18" t="inlineStr">
        <is>
          <t>Death Dragon</t>
        </is>
      </c>
      <c r="B18" t="inlineStr">
        <is>
          <t>h01L</t>
        </is>
      </c>
      <c r="C18" t="n">
        <v>2</v>
      </c>
      <c r="D18" t="n">
        <v>390</v>
      </c>
      <c r="E18" t="n">
        <v>0</v>
      </c>
      <c r="F18" t="inlineStr">
        <is>
          <t>Death Shrine</t>
        </is>
      </c>
      <c r="H18" t="inlineStr">
        <is>
          <t>Air Barrage (A000); Death Strike (A001)</t>
        </is>
      </c>
      <c r="I18" t="inlineStr">
        <is>
          <t>enemies,ground,nonancient</t>
        </is>
      </c>
      <c r="J18" t="n">
        <v>666</v>
      </c>
      <c r="K18" t="n">
        <v>666</v>
      </c>
      <c r="L18" t="n">
        <v>666</v>
      </c>
      <c r="M18" t="n">
        <v>7</v>
      </c>
      <c r="N18" t="n">
        <v>1000</v>
      </c>
      <c r="O18" t="inlineStr">
        <is>
          <t>chaos</t>
        </is>
      </c>
      <c r="P18" t="n">
        <v>95.09999999999999</v>
      </c>
      <c r="Q18" t="n">
        <v>1000</v>
      </c>
      <c r="R18" t="n">
        <v>1000</v>
      </c>
      <c r="S18" t="n">
        <v>1000</v>
      </c>
      <c r="T18" t="n">
        <v>0.5</v>
      </c>
      <c r="U18" t="n">
        <v>1000</v>
      </c>
      <c r="V18" t="inlineStr">
        <is>
          <t>chaos</t>
        </is>
      </c>
      <c r="W18" t="n">
        <v>2000</v>
      </c>
      <c r="Z18" t="n">
        <v>4</v>
      </c>
      <c r="AA18" t="n">
        <v>2750</v>
      </c>
      <c r="AB18" t="n">
        <v>0</v>
      </c>
      <c r="AC18" t="inlineStr">
        <is>
          <t>instant</t>
        </is>
      </c>
      <c r="AD18" t="n">
        <v>665</v>
      </c>
      <c r="AE18" t="n">
        <v>1</v>
      </c>
      <c r="AF18" t="n">
        <v>1</v>
      </c>
      <c r="AG18" t="inlineStr">
        <is>
          <t>chaos</t>
        </is>
      </c>
      <c r="AH18" t="inlineStr">
        <is>
          <t>hhou</t>
        </is>
      </c>
      <c r="AI18" t="inlineStr">
        <is>
          <t>A000,A028,A001</t>
        </is>
      </c>
      <c r="AJ18" t="inlineStr">
        <is>
          <t>U pgrade to Death Dragon</t>
        </is>
      </c>
      <c r="AK18" t="n">
        <v>999</v>
      </c>
      <c r="AL18" t="n">
        <v>1</v>
      </c>
      <c r="AM18" t="n">
        <v>1</v>
      </c>
      <c r="AO18" t="inlineStr">
        <is>
          <t>D10</t>
        </is>
      </c>
      <c r="AP18" t="inlineStr">
        <is>
          <t>Slot inferred, not observed. Death Dragon is a REQUIREMENT of The Fallen (T11) and sits between T10 and T11, so it is most likely Death Shrine's upgrade. The owner listed "death dragon 700g" adjacently, so the 700g may belong to THIS tower rather than to The Fallen. VERIFY both.</t>
        </is>
      </c>
      <c r="AQ18" t="n">
        <v>95.09999999999999</v>
      </c>
      <c r="AR18" t="n">
        <v>1</v>
      </c>
      <c r="AS18">
        <f>AQ18*AR18</f>
        <v/>
      </c>
      <c r="AT18">
        <f>IF(D18=0,"",AY18/D18)</f>
        <v/>
      </c>
      <c r="AU18">
        <f>(N18/725)^2</f>
        <v/>
      </c>
      <c r="AV18">
        <f>IF(D18=0,"",AT18*AU18)</f>
        <v/>
      </c>
      <c r="AY18">
        <f>AS18+N(AW18)+N(AX18)</f>
        <v/>
      </c>
      <c r="AZ18">
        <f>IF(D18=0,"",AT18*(N18/725))</f>
        <v/>
      </c>
      <c r="BA18" t="inlineStr">
        <is>
          <t>basic attack</t>
        </is>
      </c>
    </row>
    <row r="19">
      <c r="A19" t="inlineStr">
        <is>
          <t>The Fallen</t>
        </is>
      </c>
      <c r="B19" t="inlineStr">
        <is>
          <t>h01O</t>
        </is>
      </c>
      <c r="C19" t="n">
        <v>1</v>
      </c>
      <c r="D19" t="n">
        <v>700</v>
      </c>
      <c r="E19" t="n">
        <v>1</v>
      </c>
      <c r="G19" t="inlineStr">
        <is>
          <t>Jenovaroth</t>
        </is>
      </c>
      <c r="H19" t="inlineStr">
        <is>
          <t>Air Critical Strike II (A006)</t>
        </is>
      </c>
      <c r="I19" t="inlineStr">
        <is>
          <t>air,enemies,ground,nonancient</t>
        </is>
      </c>
      <c r="J19" t="n">
        <v>5876</v>
      </c>
      <c r="K19" t="n">
        <v>5881</v>
      </c>
      <c r="L19" t="n">
        <v>5878.5</v>
      </c>
      <c r="M19" t="n">
        <v>0.9</v>
      </c>
      <c r="N19" t="n">
        <v>1100</v>
      </c>
      <c r="O19" t="inlineStr">
        <is>
          <t>magic</t>
        </is>
      </c>
      <c r="P19" t="n">
        <v>6531.7</v>
      </c>
      <c r="AA19" t="n">
        <v>3000</v>
      </c>
      <c r="AB19" t="n">
        <v>0</v>
      </c>
      <c r="AC19" t="inlineStr">
        <is>
          <t>missile</t>
        </is>
      </c>
      <c r="AD19" t="n">
        <v>5875</v>
      </c>
      <c r="AE19" t="n">
        <v>1</v>
      </c>
      <c r="AF19" t="n">
        <v>6</v>
      </c>
      <c r="AG19" t="inlineStr">
        <is>
          <t>magic</t>
        </is>
      </c>
      <c r="AH19" t="inlineStr">
        <is>
          <t>hhou</t>
        </is>
      </c>
      <c r="AI19" t="inlineStr">
        <is>
          <t>A028,A006</t>
        </is>
      </c>
      <c r="AJ19" t="inlineStr">
        <is>
          <t>Build The Fallen ( C )</t>
        </is>
      </c>
      <c r="AO19" t="inlineStr">
        <is>
          <t>D11</t>
        </is>
      </c>
      <c r="AP19" t="inlineStr">
        <is>
          <t>CORRECTED 2026-09-05: "Tempest Base" is a TOWER, and this hero has NO base upgrade (owner). An earlier note here read it as the hero base acting as a tech gate, by analogy with the Royal Family's Royal Base II - that analogy was wrong. Base upgrades are a PER-HERO feature, not a system rule. THE CAPSTONE. 700g, and the cost may instead belong to Death Dragon - the owner listed them adjacently. Likely the "700g unique (upgrade cost 800g)" the owner reported succeeding with, since this hero also has the 15g starter they mentioned; INFERENCE, not stated.</t>
        </is>
      </c>
      <c r="AQ19" t="n">
        <v>6531.7</v>
      </c>
      <c r="AR19" t="n">
        <v>2.5</v>
      </c>
      <c r="AS19">
        <f>AQ19*AR19</f>
        <v/>
      </c>
      <c r="AT19">
        <f>IF(D19=0,"",AY19/D19)</f>
        <v/>
      </c>
      <c r="AU19">
        <f>(N19/725)^2</f>
        <v/>
      </c>
      <c r="AV19">
        <f>IF(D19=0,"",AT19*AU19)</f>
        <v/>
      </c>
      <c r="AY19">
        <f>AS19+N(AW19)+N(AX19)</f>
        <v/>
      </c>
      <c r="AZ19">
        <f>IF(D19=0,"",AT19*(N19/725))</f>
        <v/>
      </c>
      <c r="BA19" t="inlineStr">
        <is>
          <t>basic attack</t>
        </is>
      </c>
    </row>
    <row r="20">
      <c r="A20" t="inlineStr">
        <is>
          <t>Jenovaroth</t>
        </is>
      </c>
      <c r="B20" t="inlineStr">
        <is>
          <t>h01P</t>
        </is>
      </c>
      <c r="C20" t="n">
        <v>2</v>
      </c>
      <c r="D20" t="n">
        <v>800</v>
      </c>
      <c r="E20" t="n">
        <v>1</v>
      </c>
      <c r="F20" t="inlineStr">
        <is>
          <t>The Fallen</t>
        </is>
      </c>
      <c r="H20" t="inlineStr">
        <is>
          <t>Slow Poison II (A008); Air Critical Strike II (A006)</t>
        </is>
      </c>
      <c r="I20" t="inlineStr">
        <is>
          <t>air,enemies,nonancient</t>
        </is>
      </c>
      <c r="J20" t="n">
        <v>5201</v>
      </c>
      <c r="K20" t="n">
        <v>5208</v>
      </c>
      <c r="L20" t="n">
        <v>5204.5</v>
      </c>
      <c r="M20" t="n">
        <v>0.6</v>
      </c>
      <c r="N20" t="n">
        <v>1400</v>
      </c>
      <c r="O20" t="inlineStr">
        <is>
          <t>magic</t>
        </is>
      </c>
      <c r="P20" t="n">
        <v>8674.200000000001</v>
      </c>
      <c r="Q20" t="n">
        <v>976</v>
      </c>
      <c r="R20" t="n">
        <v>988</v>
      </c>
      <c r="S20" t="n">
        <v>982</v>
      </c>
      <c r="U20" t="n">
        <v>1400</v>
      </c>
      <c r="V20" t="inlineStr">
        <is>
          <t>chaos</t>
        </is>
      </c>
      <c r="Z20" t="n">
        <v>7</v>
      </c>
      <c r="AA20" t="n">
        <v>3500</v>
      </c>
      <c r="AB20" t="n">
        <v>0</v>
      </c>
      <c r="AC20" t="inlineStr">
        <is>
          <t>missile</t>
        </is>
      </c>
      <c r="AD20" t="n">
        <v>5200</v>
      </c>
      <c r="AE20" t="n">
        <v>1</v>
      </c>
      <c r="AF20" t="n">
        <v>8</v>
      </c>
      <c r="AG20" t="inlineStr">
        <is>
          <t>magic</t>
        </is>
      </c>
      <c r="AH20" t="inlineStr">
        <is>
          <t>hhou</t>
        </is>
      </c>
      <c r="AI20" t="inlineStr">
        <is>
          <t>A028,A008,A006</t>
        </is>
      </c>
      <c r="AJ20" t="inlineStr">
        <is>
          <t>U pgrade to Jenovaroth</t>
        </is>
      </c>
      <c r="AK20" t="n">
        <v>975</v>
      </c>
      <c r="AL20" t="n">
        <v>1</v>
      </c>
      <c r="AM20" t="n">
        <v>13</v>
      </c>
      <c r="AQ20" t="n">
        <v>8674.200000000001</v>
      </c>
      <c r="AR20" t="n">
        <v>2.5</v>
      </c>
      <c r="AS20">
        <f>AQ20*AR20</f>
        <v/>
      </c>
      <c r="AT20">
        <f>IF(D20=0,"",AY20/D20)</f>
        <v/>
      </c>
      <c r="AU20">
        <f>(N20/725)^2</f>
        <v/>
      </c>
      <c r="AV20">
        <f>IF(D20=0,"",AT20*AU20)</f>
        <v/>
      </c>
      <c r="AX20" t="n">
        <v>36</v>
      </c>
      <c r="AY20">
        <f>AS20+N(AW20)+N(AX20)</f>
        <v/>
      </c>
      <c r="AZ20">
        <f>IF(D20=0,"",AT20*(N20/725))</f>
        <v/>
      </c>
      <c r="BA20" t="inlineStr">
        <is>
          <t>basic attack</t>
        </is>
      </c>
    </row>
    <row r="21">
      <c r="A21" t="inlineStr">
        <is>
          <t>Father Dragon</t>
        </is>
      </c>
      <c r="AN21" t="inlineStr">
        <is>
          <t>hand capture only — no extracted counterpart</t>
        </is>
      </c>
      <c r="AO21" t="inlineStr">
        <is>
          <t>D2</t>
        </is>
      </c>
      <c r="AP21" t="inlineStr">
        <is>
          <t xml:space="preserve">AIR CRITICAL STRIKE II identified 2026-09-05 (the Royal Family named the tier: 50% x4). RESOLVED 2026-09-05: the trait is named "Boss Assassin" but TARGETS HEROES - the owner read "boss assassin II (50% x8 against heroes)" on a Royal Family tower. So the earlier boss-vs-hero ambiguity was the GAME conflating them, not a transcription slip. Both readings were right. DUAL crit (air AND boss) at 50% x4 each. 16.78 range-adjusted against either. Its 600 range is short for the kit. </t>
        </is>
      </c>
      <c r="AR21" t="n">
        <v>1</v>
      </c>
      <c r="AS21">
        <f>AQ21*AR21</f>
        <v/>
      </c>
      <c r="AT21">
        <f>IF(D21=0,"",AY21/D21)</f>
        <v/>
      </c>
      <c r="AU21">
        <f>(N21/725)^2</f>
        <v/>
      </c>
      <c r="AV21">
        <f>IF(D21=0,"",AT21*AU21)</f>
        <v/>
      </c>
      <c r="AY21">
        <f>AS21+N(AW21)+N(AX21)</f>
        <v/>
      </c>
      <c r="AZ21">
        <f>IF(D21=0,"",AT21*(N21/725))</f>
        <v/>
      </c>
      <c r="BA21" t="inlineStr">
        <is>
          <t>no damage figure — support/on-death, or a bonus that needs a basic attack it lacks</t>
        </is>
      </c>
    </row>
    <row r="22">
      <c r="A22" t="inlineStr">
        <is>
          <t>Reaper Spawn</t>
        </is>
      </c>
      <c r="AN22" t="inlineStr">
        <is>
          <t>hand capture only — no extracted counterpart</t>
        </is>
      </c>
      <c r="AO22" t="inlineStr">
        <is>
          <t>D2</t>
        </is>
      </c>
      <c r="AP22" t="inlineStr">
        <is>
          <t>AIR CRITICAL STRIKE II identified 2026-09-05 (the Royal Family named the tier: 50% x4). CHAOS attack type - the kit's ONLY non-magic tower. In stock WC3 chaos deals full damage to every armour type, i.e. it ignores the matrix entirely; UNVERIFIED for this map. Melee, but DOES hit air when the flyer passes directly above it (owner 2026-09-05) - so it is a positional anti-air, not a blind spot. 23.90 raw dps/gold is among the best recorded, but it is unadjustable for range and demands exact placement under the flight path.</t>
        </is>
      </c>
      <c r="AR22" t="n">
        <v>1</v>
      </c>
      <c r="AS22">
        <f>AQ22*AR22</f>
        <v/>
      </c>
      <c r="AT22">
        <f>IF(D22=0,"",AY22/D22)</f>
        <v/>
      </c>
      <c r="AU22">
        <f>(N22/725)^2</f>
        <v/>
      </c>
      <c r="AV22">
        <f>IF(D22=0,"",AT22*AU22)</f>
        <v/>
      </c>
      <c r="AY22">
        <f>AS22+N(AW22)+N(AX22)</f>
        <v/>
      </c>
      <c r="AZ22">
        <f>IF(D22=0,"",AT22*(N22/725))</f>
        <v/>
      </c>
      <c r="BA22" t="inlineStr">
        <is>
          <t>no damage figure — support/on-death, or a bonus that needs a basic attack it lacks</t>
        </is>
      </c>
    </row>
  </sheetData>
  <autoFilter ref="A1:BA2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3"/>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6" customWidth="1" min="3" max="3"/>
    <col width="48" customWidth="1" min="4" max="4"/>
    <col width="9" customWidth="1" min="5" max="5"/>
    <col width="9" customWidth="1" min="6" max="6"/>
    <col width="14" customWidth="1" min="7" max="7"/>
    <col width="48" customWidth="1" min="8" max="8"/>
    <col width="9" customWidth="1" min="9" max="9"/>
  </cols>
  <sheetData>
    <row r="1">
      <c r="A1" s="1" t="inlineStr">
        <is>
          <t>trait</t>
        </is>
      </c>
      <c r="B1" s="1" t="inlineStr">
        <is>
          <t>ability_id</t>
        </is>
      </c>
      <c r="C1" s="1" t="inlineStr">
        <is>
          <t>defined_in_map</t>
        </is>
      </c>
      <c r="D1" s="1" t="inlineStr">
        <is>
          <t>description</t>
        </is>
      </c>
      <c r="E1" s="1" t="inlineStr">
        <is>
          <t>hotkey</t>
        </is>
      </c>
      <c r="F1" s="1" t="inlineStr">
        <is>
          <t>passive</t>
        </is>
      </c>
      <c r="G1" s="1" t="inlineStr">
        <is>
          <t>towers_using</t>
        </is>
      </c>
      <c r="H1" s="1" t="inlineStr">
        <is>
          <t>example_towers</t>
        </is>
      </c>
      <c r="I1" s="1" t="inlineStr">
        <is>
          <t>notes</t>
        </is>
      </c>
    </row>
    <row r="2">
      <c r="A2" t="inlineStr">
        <is>
          <t>Air Barrage (A000)</t>
        </is>
      </c>
      <c r="B2" t="inlineStr">
        <is>
          <t>A000</t>
        </is>
      </c>
      <c r="C2" t="inlineStr">
        <is>
          <t>yes</t>
        </is>
      </c>
      <c r="D2" t="inlineStr">
        <is>
          <t>Fires a secondary volley of death energy that target nearby enemies. Hits up to 7 targets in this manner and deals 1000 damage each.</t>
        </is>
      </c>
      <c r="G2" t="n">
        <v>1</v>
      </c>
      <c r="H2" t="inlineStr">
        <is>
          <t>Death Dragon</t>
        </is>
      </c>
    </row>
    <row r="3">
      <c r="A3" t="inlineStr">
        <is>
          <t>Death Strike (A001)</t>
        </is>
      </c>
      <c r="B3" t="inlineStr">
        <is>
          <t>A001</t>
        </is>
      </c>
      <c r="C3" t="inlineStr">
        <is>
          <t>yes</t>
        </is>
      </c>
      <c r="D3" t="inlineStr">
        <is>
          <t>The Death Dragon's attack instantly kills a non-hero ground unit.</t>
        </is>
      </c>
      <c r="G3" t="n">
        <v>1</v>
      </c>
      <c r="H3" t="inlineStr">
        <is>
          <t>Death Dragon</t>
        </is>
      </c>
    </row>
    <row r="4">
      <c r="A4" t="inlineStr">
        <is>
          <t>Frost II (A002)</t>
        </is>
      </c>
      <c r="B4" t="inlineStr">
        <is>
          <t>A002</t>
        </is>
      </c>
      <c r="C4" t="inlineStr">
        <is>
          <t>yes</t>
        </is>
      </c>
      <c r="D4" t="inlineStr">
        <is>
          <t>Adds a cold effect to this unit's attacks that slows enemy units' movement speed for a medium period of time.</t>
        </is>
      </c>
      <c r="G4" t="n">
        <v>3</v>
      </c>
      <c r="H4" t="inlineStr">
        <is>
          <t>D-String; Apocalypse; Frozen Reaper</t>
        </is>
      </c>
    </row>
    <row r="5">
      <c r="A5" t="inlineStr">
        <is>
          <t>Ground Critical Strike I (A003)</t>
        </is>
      </c>
      <c r="B5" t="inlineStr">
        <is>
          <t>A003</t>
        </is>
      </c>
      <c r="C5" t="inlineStr">
        <is>
          <t>yes</t>
        </is>
      </c>
      <c r="D5" t="inlineStr">
        <is>
          <t>Gives a 35% chance to do 2 times normal damage on an attack. Crits against ground only.</t>
        </is>
      </c>
      <c r="G5" t="n">
        <v>8</v>
      </c>
      <c r="H5" t="inlineStr">
        <is>
          <t>Duke Burnify; Chibidevil; Stealth Maiden</t>
        </is>
      </c>
    </row>
    <row r="6">
      <c r="A6" t="inlineStr">
        <is>
          <t>Versatile Critical Strike I (A004)</t>
        </is>
      </c>
      <c r="B6" t="inlineStr">
        <is>
          <t>A004</t>
        </is>
      </c>
      <c r="C6" t="inlineStr">
        <is>
          <t>yes</t>
        </is>
      </c>
      <c r="D6" t="inlineStr">
        <is>
          <t>Gives a 35% chance to do 2.5 times normal damage on an attack. Crits against all units.</t>
        </is>
      </c>
      <c r="G6" t="n">
        <v>13</v>
      </c>
      <c r="H6" t="inlineStr">
        <is>
          <t>Axeman; General Ninpou; Equipped Peasant 2</t>
        </is>
      </c>
    </row>
    <row r="7">
      <c r="A7" t="inlineStr">
        <is>
          <t>Air Critical Strike I (A005)</t>
        </is>
      </c>
      <c r="B7" t="inlineStr">
        <is>
          <t>A005</t>
        </is>
      </c>
      <c r="C7" t="inlineStr">
        <is>
          <t>yes</t>
        </is>
      </c>
      <c r="D7" t="inlineStr">
        <is>
          <t>Gives a 50% chance to do 1.5 times normal damage on an attack. Crits against air units.</t>
        </is>
      </c>
      <c r="G7" t="n">
        <v>12</v>
      </c>
      <c r="H7" t="inlineStr">
        <is>
          <t>Spear Guard; War Beast; The Pride of Moon Star</t>
        </is>
      </c>
    </row>
    <row r="8">
      <c r="A8" t="inlineStr">
        <is>
          <t>Air Critical Strike II (A006)</t>
        </is>
      </c>
      <c r="B8" t="inlineStr">
        <is>
          <t>A006</t>
        </is>
      </c>
      <c r="C8" t="inlineStr">
        <is>
          <t>yes</t>
        </is>
      </c>
      <c r="D8" t="inlineStr">
        <is>
          <t>Gives a 50% chance to do 4 times normal damage on an attack. Crits against air units.</t>
        </is>
      </c>
      <c r="G8" t="n">
        <v>18</v>
      </c>
      <c r="H8" t="inlineStr">
        <is>
          <t>Tamed Game; Toxic Assassin; Father Dragon</t>
        </is>
      </c>
    </row>
    <row r="9">
      <c r="A9" t="inlineStr">
        <is>
          <t>Cleaving Attack (A007)</t>
        </is>
      </c>
      <c r="B9" t="inlineStr">
        <is>
          <t>A007</t>
        </is>
      </c>
      <c r="C9" t="inlineStr">
        <is>
          <t>yes</t>
        </is>
      </c>
      <c r="D9" t="inlineStr">
        <is>
          <t>25% of this unit's damage strikes through the primary target to hurt all nearby enemies in a 200 radius.</t>
        </is>
      </c>
      <c r="F9" t="inlineStr">
        <is>
          <t>yes</t>
        </is>
      </c>
      <c r="G9" t="n">
        <v>1</v>
      </c>
      <c r="H9" t="inlineStr">
        <is>
          <t>Insurrectionist Trow</t>
        </is>
      </c>
    </row>
    <row r="10">
      <c r="A10" t="inlineStr">
        <is>
          <t>Slow Poison II (A008)</t>
        </is>
      </c>
      <c r="B10" t="inlineStr">
        <is>
          <t>A008</t>
        </is>
      </c>
      <c r="C10" t="inlineStr">
        <is>
          <t>yes</t>
        </is>
      </c>
      <c r="D10" t="inlineStr">
        <is>
          <t>A vicious poison attack that deals 36 damage per second, and slows the target organic enemy's movement by 40%.|n|nAll poison types stacks with each other.</t>
        </is>
      </c>
      <c r="G10" t="n">
        <v>11</v>
      </c>
      <c r="H10" t="inlineStr">
        <is>
          <t>Axeman; Ruthless Warlord; Father Dragon</t>
        </is>
      </c>
    </row>
    <row r="11">
      <c r="A11" t="inlineStr">
        <is>
          <t>Air Deficiency (A009)</t>
        </is>
      </c>
      <c r="B11" t="inlineStr">
        <is>
          <t>A009</t>
        </is>
      </c>
      <c r="C11" t="inlineStr">
        <is>
          <t>yes</t>
        </is>
      </c>
      <c r="D11" t="inlineStr">
        <is>
          <t>This unit cannot strike air units very efficiently, and deals only 25% damage on 50% of its attacks.</t>
        </is>
      </c>
      <c r="G11" t="n">
        <v>7</v>
      </c>
      <c r="H11" t="inlineStr">
        <is>
          <t>Mercurial Predator; Severe Trauma; Promontory Disruptor</t>
        </is>
      </c>
    </row>
    <row r="12">
      <c r="A12" t="inlineStr">
        <is>
          <t>Ground Critical Strike II (A00A)</t>
        </is>
      </c>
      <c r="B12" t="inlineStr">
        <is>
          <t>A00A</t>
        </is>
      </c>
      <c r="C12" t="inlineStr">
        <is>
          <t>yes</t>
        </is>
      </c>
      <c r="D12" t="inlineStr">
        <is>
          <t>The Destroyer possesses the heart of a lion, and has a 50% chance to deal 5x damage to ground enemies.</t>
        </is>
      </c>
      <c r="G12" t="n">
        <v>1</v>
      </c>
      <c r="H12" t="inlineStr">
        <is>
          <t>Unrivaled Destroyer</t>
        </is>
      </c>
    </row>
    <row r="13">
      <c r="A13" t="inlineStr">
        <is>
          <t>Calamity (A00B)</t>
        </is>
      </c>
      <c r="B13" t="inlineStr">
        <is>
          <t>A00B</t>
        </is>
      </c>
      <c r="C13" t="inlineStr">
        <is>
          <t>yes</t>
        </is>
      </c>
      <c r="D13" t="inlineStr">
        <is>
          <t>Slams the ground, dealing no damage to nearby ground units in a large radius, but slowing them for 15 seconds by 15%.|nDoes not stack with Vacuum Torpedo.</t>
        </is>
      </c>
      <c r="G13" t="n">
        <v>1</v>
      </c>
      <c r="H13" t="inlineStr">
        <is>
          <t>Apocalypse</t>
        </is>
      </c>
    </row>
    <row r="14">
      <c r="A14" t="inlineStr">
        <is>
          <t>Judgement (A00N)</t>
        </is>
      </c>
      <c r="B14" t="inlineStr">
        <is>
          <t>A00N</t>
        </is>
      </c>
      <c r="C14" t="inlineStr">
        <is>
          <t>yes</t>
        </is>
      </c>
      <c r="D14" t="inlineStr">
        <is>
          <t>Burns nearby enemy air units over time. Deals 100 damage per second. |nLasts 20 seconds.</t>
        </is>
      </c>
      <c r="G14" t="n">
        <v>2</v>
      </c>
      <c r="H14" t="inlineStr">
        <is>
          <t>High Priest; Martyr</t>
        </is>
      </c>
    </row>
    <row r="15">
      <c r="A15" t="inlineStr">
        <is>
          <t>Rail Driver (A00O)</t>
        </is>
      </c>
      <c r="B15" t="inlineStr">
        <is>
          <t>A00O</t>
        </is>
      </c>
      <c r="C15" t="inlineStr">
        <is>
          <t>yes</t>
        </is>
      </c>
      <c r="D15" t="inlineStr">
        <is>
          <t>Summons two ethereal hands to erupt from the earth that instantly kills a non-hero ground unit.</t>
        </is>
      </c>
      <c r="G15" t="n">
        <v>1</v>
      </c>
      <c r="H15" t="inlineStr">
        <is>
          <t>Delphinus</t>
        </is>
      </c>
    </row>
    <row r="16">
      <c r="A16" t="inlineStr">
        <is>
          <t>Vacuum Torpedo (A00P)</t>
        </is>
      </c>
      <c r="B16" t="inlineStr">
        <is>
          <t>A00P</t>
        </is>
      </c>
      <c r="C16" t="inlineStr">
        <is>
          <t>yes</t>
        </is>
      </c>
      <c r="D16" t="inlineStr">
        <is>
          <t>Fires a torpedo straight into the soft earth that implodes the ground. The ethereal force ripples from Delphinus dealing 150 points of damage and greatly slows ground enemies for 8 seconds.|nDoes not stack with Calamity.</t>
        </is>
      </c>
      <c r="G16" t="n">
        <v>1</v>
      </c>
      <c r="H16" t="inlineStr">
        <is>
          <t>Delphinus</t>
        </is>
      </c>
    </row>
    <row r="17">
      <c r="A17" t="inlineStr">
        <is>
          <t>Tornado Shot (A00Q)</t>
        </is>
      </c>
      <c r="B17" t="inlineStr">
        <is>
          <t>A00Q</t>
        </is>
      </c>
      <c r="C17" t="inlineStr">
        <is>
          <t>yes</t>
        </is>
      </c>
      <c r="D17" t="inlineStr">
        <is>
          <t>Summons 6 fast moving tornados whirling shrapnel and dust every second for 10 seconds. |nDamages air units in a small area of effect for 100 damage.</t>
        </is>
      </c>
      <c r="G17" t="n">
        <v>2</v>
      </c>
      <c r="H17" t="inlineStr">
        <is>
          <t>Little Jack; Battleship Mackinaw</t>
        </is>
      </c>
    </row>
    <row r="18">
      <c r="A18" t="inlineStr">
        <is>
          <t>Boss Assassin II (A00R)</t>
        </is>
      </c>
      <c r="B18" t="inlineStr">
        <is>
          <t>A00R</t>
        </is>
      </c>
      <c r="C18" t="inlineStr">
        <is>
          <t>yes</t>
        </is>
      </c>
      <c r="D18" t="inlineStr">
        <is>
          <t>Deals 8x damage to heroes. Crits 50% of the time.</t>
        </is>
      </c>
      <c r="G18" t="n">
        <v>4</v>
      </c>
      <c r="H18" t="inlineStr">
        <is>
          <t>Marksman; Ignatious; Astral Skibi</t>
        </is>
      </c>
    </row>
    <row r="19">
      <c r="A19" t="inlineStr">
        <is>
          <t>Absolution (A00S)</t>
        </is>
      </c>
      <c r="B19" t="inlineStr">
        <is>
          <t>A00S</t>
        </is>
      </c>
      <c r="C19" t="inlineStr">
        <is>
          <t>yes</t>
        </is>
      </c>
      <c r="D19" t="inlineStr">
        <is>
          <t>Skibi's magical attack has a 50% chance to deal 25 times normal damage against non-boss enemy units.</t>
        </is>
      </c>
      <c r="G19" t="n">
        <v>1</v>
      </c>
      <c r="H19" t="inlineStr">
        <is>
          <t>Astral Skibi</t>
        </is>
      </c>
    </row>
    <row r="20">
      <c r="A20" t="inlineStr">
        <is>
          <t>Slow Poison III (A00T)</t>
        </is>
      </c>
      <c r="B20" t="inlineStr">
        <is>
          <t>A00T</t>
        </is>
      </c>
      <c r="C20" t="inlineStr">
        <is>
          <t>yes</t>
        </is>
      </c>
      <c r="D20" t="inlineStr">
        <is>
          <t>A poison attack that deals 250 damage per second, and slows the target organic enemy's movement by 65%.|n|nAll poison types stacks with each other.</t>
        </is>
      </c>
      <c r="G20" t="n">
        <v>2</v>
      </c>
      <c r="H20" t="inlineStr">
        <is>
          <t>Toxic Assassin; Peppy Bronzebeard</t>
        </is>
      </c>
    </row>
    <row r="21">
      <c r="A21" t="inlineStr">
        <is>
          <t>Air Critical Strike III (A00U)</t>
        </is>
      </c>
      <c r="B21" t="inlineStr">
        <is>
          <t>A00U</t>
        </is>
      </c>
      <c r="C21" t="inlineStr">
        <is>
          <t>yes</t>
        </is>
      </c>
      <c r="D21" t="inlineStr">
        <is>
          <t>Gives a 50% chance to do 7 times normal damage on an attack. Crits against air units.</t>
        </is>
      </c>
      <c r="G21" t="n">
        <v>2</v>
      </c>
      <c r="H21" t="inlineStr">
        <is>
          <t>Noir Heart; Shrine of Isis</t>
        </is>
      </c>
    </row>
    <row r="22">
      <c r="A22" t="inlineStr">
        <is>
          <t>Gravity Well (A00V)</t>
        </is>
      </c>
      <c r="B22" t="inlineStr">
        <is>
          <t>A00V</t>
        </is>
      </c>
      <c r="C22" t="inlineStr">
        <is>
          <t>yes</t>
        </is>
      </c>
      <c r="D22" t="inlineStr">
        <is>
          <t>Rips the fabric and essence from those that stand on the same ground as her ladyship. Enemy life is reduced by about 10% and movement speed permanently is cut by 5%. This damage cannot be prevented or reduced.</t>
        </is>
      </c>
      <c r="G22" t="n">
        <v>2</v>
      </c>
      <c r="H22" t="inlineStr">
        <is>
          <t>Lilianna Mai; Astral Skibi</t>
        </is>
      </c>
    </row>
    <row r="23">
      <c r="A23" t="inlineStr">
        <is>
          <t>Cure All (A00X)</t>
        </is>
      </c>
      <c r="B23" t="inlineStr">
        <is>
          <t>A00X</t>
        </is>
      </c>
      <c r="C23" t="inlineStr">
        <is>
          <t>yes</t>
        </is>
      </c>
      <c r="D23" t="inlineStr">
        <is>
          <t>Instantly heals the allies' buildings for 250. |n|nAffects allied buildings.</t>
        </is>
      </c>
      <c r="G23" t="n">
        <v>2</v>
      </c>
      <c r="H23" t="inlineStr">
        <is>
          <t>Protection Ward; Roseate Ward</t>
        </is>
      </c>
    </row>
    <row r="24">
      <c r="A24" t="inlineStr">
        <is>
          <t>Combustion (A014)</t>
        </is>
      </c>
      <c r="B24" t="inlineStr">
        <is>
          <t>A014</t>
        </is>
      </c>
      <c r="C24" t="inlineStr">
        <is>
          <t>yes</t>
        </is>
      </c>
      <c r="D24" t="inlineStr">
        <is>
          <t>Increases the tower's attack rate by up to 50% for 15 seconds.</t>
        </is>
      </c>
      <c r="G24" t="n">
        <v>5</v>
      </c>
      <c r="H24" t="inlineStr">
        <is>
          <t>Aspect of Fire; Scalding Tower; Fire Hydra</t>
        </is>
      </c>
    </row>
    <row r="25">
      <c r="A25" t="inlineStr">
        <is>
          <t>Collapse (A019)</t>
        </is>
      </c>
      <c r="B25" t="inlineStr">
        <is>
          <t>A019</t>
        </is>
      </c>
      <c r="C25" t="inlineStr">
        <is>
          <t>yes</t>
        </is>
      </c>
      <c r="D25" t="inlineStr">
        <is>
          <t>Strikes from underneath the ground with a terribly powerful tentacle, permanently lowering a non-hero ground unit's movement speed to the minimum amount.</t>
        </is>
      </c>
      <c r="G25" t="n">
        <v>1</v>
      </c>
      <c r="H25" t="inlineStr">
        <is>
          <t>Glacial Spike</t>
        </is>
      </c>
    </row>
    <row r="26">
      <c r="A26" t="inlineStr">
        <is>
          <t>Sloth II (A01A)</t>
        </is>
      </c>
      <c r="B26" t="inlineStr">
        <is>
          <t>A01A</t>
        </is>
      </c>
      <c r="C26" t="inlineStr">
        <is>
          <t>yes</t>
        </is>
      </c>
      <c r="D26" t="inlineStr">
        <is>
          <t>1/5th of this tower's attacks reduces a target creep's HP by 25% and permanently reduces movement speed by a large amount. |n|nThis curse stacks with itself.</t>
        </is>
      </c>
      <c r="G26" t="n">
        <v>1</v>
      </c>
      <c r="H26" t="inlineStr">
        <is>
          <t>Scarlet Ward</t>
        </is>
      </c>
    </row>
    <row r="27">
      <c r="A27" t="inlineStr">
        <is>
          <t>Supine Hex I (A01B)</t>
        </is>
      </c>
      <c r="B27" t="inlineStr">
        <is>
          <t>A01B</t>
        </is>
      </c>
      <c r="C27" t="inlineStr">
        <is>
          <t>yes</t>
        </is>
      </c>
      <c r="D27" t="inlineStr">
        <is>
          <t>This ward's power permanently reduces a non-hero enemy's movement speed by 7. |n|nThis curse stacks with itself.</t>
        </is>
      </c>
      <c r="G27" t="n">
        <v>1</v>
      </c>
      <c r="H27" t="inlineStr">
        <is>
          <t>Sapphire Ward</t>
        </is>
      </c>
    </row>
    <row r="28">
      <c r="A28" t="inlineStr">
        <is>
          <t>Supine Hex II (A01C)</t>
        </is>
      </c>
      <c r="B28" t="inlineStr">
        <is>
          <t>A01C</t>
        </is>
      </c>
      <c r="C28" t="inlineStr">
        <is>
          <t>yes</t>
        </is>
      </c>
      <c r="D28" t="inlineStr">
        <is>
          <t>This ward's power permanently reduces a non-hero enemy's movement speed by 12. |n|nThis curse stacks with itself.</t>
        </is>
      </c>
      <c r="G28" t="n">
        <v>1</v>
      </c>
      <c r="H28" t="inlineStr">
        <is>
          <t>Purity Ward</t>
        </is>
      </c>
    </row>
    <row r="29">
      <c r="A29" t="inlineStr">
        <is>
          <t>Versatile Critical Strike II (A01E)</t>
        </is>
      </c>
      <c r="B29" t="inlineStr">
        <is>
          <t>A01E</t>
        </is>
      </c>
      <c r="C29" t="inlineStr">
        <is>
          <t>yes</t>
        </is>
      </c>
      <c r="D29" t="inlineStr">
        <is>
          <t>Gives a 60% chance to do 2.75 times normal damage on an attack. Crits against all units.</t>
        </is>
      </c>
      <c r="G29" t="n">
        <v>6</v>
      </c>
      <c r="H29" t="inlineStr">
        <is>
          <t>Equipped Peasant 3; Equipped Peasant 4; Equipped Peasant 5</t>
        </is>
      </c>
    </row>
    <row r="30">
      <c r="A30" t="inlineStr">
        <is>
          <t>Curse Boss II (A01G)</t>
        </is>
      </c>
      <c r="B30" t="inlineStr">
        <is>
          <t>A01G</t>
        </is>
      </c>
      <c r="C30" t="inlineStr">
        <is>
          <t>yes</t>
        </is>
      </c>
      <c r="D30" t="inlineStr">
        <is>
          <t>Cuts at the heart of evil, and reduces an enemy boss's movement speed by a medium portion.|nThis curse stacks with itself.</t>
        </is>
      </c>
      <c r="G30" t="n">
        <v>1</v>
      </c>
      <c r="H30" t="inlineStr">
        <is>
          <t>Malachite Ward</t>
        </is>
      </c>
    </row>
    <row r="31">
      <c r="A31" t="inlineStr">
        <is>
          <t>Curse Boss I (A01H)</t>
        </is>
      </c>
      <c r="B31" t="inlineStr">
        <is>
          <t>A01H</t>
        </is>
      </c>
      <c r="C31" t="inlineStr">
        <is>
          <t>yes</t>
        </is>
      </c>
      <c r="D31" t="inlineStr">
        <is>
          <t>Cuts at the heart of evil, and reduces an enemy boss's movement speed by a small portion.|nThis curse stacks with itself.</t>
        </is>
      </c>
      <c r="G31" t="n">
        <v>1</v>
      </c>
      <c r="H31" t="inlineStr">
        <is>
          <t>Lilac Ward</t>
        </is>
      </c>
    </row>
    <row r="32">
      <c r="A32" t="inlineStr">
        <is>
          <t>Sloth I (A01I)</t>
        </is>
      </c>
      <c r="B32" t="inlineStr">
        <is>
          <t>A01I</t>
        </is>
      </c>
      <c r="C32" t="inlineStr">
        <is>
          <t>yes</t>
        </is>
      </c>
      <c r="D32" t="inlineStr">
        <is>
          <t>1/5th of this tower's attacks reduces a target creep's HP by 15% and permanently reduces movement speed by a medium amount. |n|nThis curse stacks with itself.</t>
        </is>
      </c>
      <c r="G32" t="n">
        <v>1</v>
      </c>
      <c r="H32" t="inlineStr">
        <is>
          <t>Ochre Ward</t>
        </is>
      </c>
    </row>
    <row r="33">
      <c r="A33" t="inlineStr">
        <is>
          <t>Multiple Shot (A01M)</t>
        </is>
      </c>
      <c r="B33" t="inlineStr">
        <is>
          <t>A01M</t>
        </is>
      </c>
      <c r="C33" t="inlineStr">
        <is>
          <t>yes</t>
        </is>
      </c>
      <c r="D33" t="inlineStr">
        <is>
          <t>The tower's attacks home on enemies, and richochet to strike additional units.</t>
        </is>
      </c>
      <c r="G33" t="n">
        <v>1</v>
      </c>
      <c r="H33" t="inlineStr">
        <is>
          <t>Porcus Maximus</t>
        </is>
      </c>
    </row>
    <row r="34">
      <c r="A34" t="inlineStr">
        <is>
          <t>Weak Ground Splash (A01V)</t>
        </is>
      </c>
      <c r="B34" t="inlineStr">
        <is>
          <t>A01V</t>
        </is>
      </c>
      <c r="C34" t="inlineStr">
        <is>
          <t>yes</t>
        </is>
      </c>
      <c r="D34" t="inlineStr">
        <is>
          <t>The tower's attacks splash when the missiles strike the enemy. The damage is distributed in the following radius from strongest to weakest: 25/50/75 |n|nSplash strikes ground units only.</t>
        </is>
      </c>
      <c r="G34" t="n">
        <v>2</v>
      </c>
      <c r="H34" t="inlineStr">
        <is>
          <t>K Dig; Machination</t>
        </is>
      </c>
    </row>
    <row r="35">
      <c r="A35" t="inlineStr">
        <is>
          <t>Ground Splash (A01W)</t>
        </is>
      </c>
      <c r="B35" t="inlineStr">
        <is>
          <t>A01W</t>
        </is>
      </c>
      <c r="C35" t="inlineStr">
        <is>
          <t>yes</t>
        </is>
      </c>
      <c r="D35" t="inlineStr">
        <is>
          <t>The tower's attacks splash when the missiles strike the enemy. The damage is distributed in the following radius from strongest to weakest: 50/100/150 |n|nSplash strikes ground units only.</t>
        </is>
      </c>
      <c r="G35" t="n">
        <v>8</v>
      </c>
      <c r="H35" t="inlineStr">
        <is>
          <t>Grayson's Fort Buster; Xavier; Shrapnel Shooter</t>
        </is>
      </c>
    </row>
    <row r="36">
      <c r="A36" t="inlineStr">
        <is>
          <t>Uber Ground Splash (A01X)</t>
        </is>
      </c>
      <c r="B36" t="inlineStr">
        <is>
          <t>A01X</t>
        </is>
      </c>
      <c r="C36" t="inlineStr">
        <is>
          <t>yes</t>
        </is>
      </c>
      <c r="D36" t="inlineStr">
        <is>
          <t>The tower's attacks splash when the missiles strike the enemy. The damage is distributed in the following radius from strongest to weakest: 75/150/225 |n|nSplash strikes ground units only.</t>
        </is>
      </c>
      <c r="G36" t="n">
        <v>4</v>
      </c>
      <c r="H36" t="inlineStr">
        <is>
          <t>Severe Trauma; Earth's Blood; Gigas Spike</t>
        </is>
      </c>
    </row>
    <row r="37">
      <c r="A37" t="inlineStr">
        <is>
          <t>Supreme Ground Splash (A01Y)</t>
        </is>
      </c>
      <c r="B37" t="inlineStr">
        <is>
          <t>A01Y</t>
        </is>
      </c>
      <c r="C37" t="inlineStr">
        <is>
          <t>yes</t>
        </is>
      </c>
      <c r="D37" t="inlineStr">
        <is>
          <t>The tower's attacks splash when the missiles strike the enemy. The damage is distributed in the following radius from strongest to weakest: 150/0/0 |n|nSplash strikes ground units only.</t>
        </is>
      </c>
      <c r="G37" t="n">
        <v>1</v>
      </c>
      <c r="H37" t="inlineStr">
        <is>
          <t>Promontory Disruptor</t>
        </is>
      </c>
    </row>
    <row r="38">
      <c r="A38" t="inlineStr">
        <is>
          <t>Supreme Splash (A01Z)</t>
        </is>
      </c>
      <c r="B38" t="inlineStr">
        <is>
          <t>A01Z</t>
        </is>
      </c>
      <c r="C38" t="inlineStr">
        <is>
          <t>yes</t>
        </is>
      </c>
      <c r="D38" t="inlineStr">
        <is>
          <t>The tower's attacks splash when the missiles strike the enemy. The damage is distributed in the following radius from strongest to weakest: 150/0/0 |n|nSplash strikes air and ground units.</t>
        </is>
      </c>
      <c r="G38" t="n">
        <v>1</v>
      </c>
      <c r="H38" t="inlineStr">
        <is>
          <t>Scarlet Ward</t>
        </is>
      </c>
    </row>
    <row r="39">
      <c r="A39" t="inlineStr">
        <is>
          <t>Weak Splash (A020)</t>
        </is>
      </c>
      <c r="B39" t="inlineStr">
        <is>
          <t>A020</t>
        </is>
      </c>
      <c r="C39" t="inlineStr">
        <is>
          <t>yes</t>
        </is>
      </c>
      <c r="D39" t="inlineStr">
        <is>
          <t>The tower's attacks splash when the missiles strike the enemy. The damage is distributed in the following radius from strongest to weakest: 25/50/75 |n|nSplash strikes air and ground units.</t>
        </is>
      </c>
      <c r="G39" t="n">
        <v>3</v>
      </c>
      <c r="H39" t="inlineStr">
        <is>
          <t>Shinobi; Lasher; Baby Dragon Den</t>
        </is>
      </c>
    </row>
    <row r="40">
      <c r="A40" t="inlineStr">
        <is>
          <t>Splash (A021)</t>
        </is>
      </c>
      <c r="B40" t="inlineStr">
        <is>
          <t>A021</t>
        </is>
      </c>
      <c r="C40" t="inlineStr">
        <is>
          <t>yes</t>
        </is>
      </c>
      <c r="D40" t="inlineStr">
        <is>
          <t>The tower's attacks splash when the missiles strike the enemy. The damage is distributed in the following radius from strongest to weakest: 50/100/150 |n|nSplash strikes air and ground units.</t>
        </is>
      </c>
      <c r="G40" t="n">
        <v>18</v>
      </c>
      <c r="H40" t="inlineStr">
        <is>
          <t>Orobos Slave; Sewage Surprise; Frigid Dryad</t>
        </is>
      </c>
    </row>
    <row r="41">
      <c r="A41" t="inlineStr">
        <is>
          <t>Uber Splash (A022)</t>
        </is>
      </c>
      <c r="B41" t="inlineStr">
        <is>
          <t>A022</t>
        </is>
      </c>
      <c r="C41" t="inlineStr">
        <is>
          <t>yes</t>
        </is>
      </c>
      <c r="D41" t="inlineStr">
        <is>
          <t>The tower's attacks splash when the missiles strike the enemy. The damage is distributed in the following radius from strongest to weakest: 75/150/225 |n|nSplash strikes air and ground units.</t>
        </is>
      </c>
      <c r="G41" t="n">
        <v>5</v>
      </c>
      <c r="H41" t="inlineStr">
        <is>
          <t>The Unborn; Malachite Ward; Arcadia</t>
        </is>
      </c>
    </row>
    <row r="42">
      <c r="A42" t="inlineStr">
        <is>
          <t>Aviary Degeneration (A024)</t>
        </is>
      </c>
      <c r="B42" t="inlineStr">
        <is>
          <t>A024</t>
        </is>
      </c>
      <c r="C42" t="inlineStr">
        <is>
          <t>yes</t>
        </is>
      </c>
      <c r="D42" t="inlineStr">
        <is>
          <t>Reduces the movement speed of nearby flying enemy units by 20%.</t>
        </is>
      </c>
      <c r="G42" t="n">
        <v>1</v>
      </c>
      <c r="H42" t="inlineStr">
        <is>
          <t>Shrine of Isis</t>
        </is>
      </c>
    </row>
    <row r="43">
      <c r="A43" t="inlineStr">
        <is>
          <t>Sell Tower (A028)</t>
        </is>
      </c>
      <c r="B43" t="inlineStr">
        <is>
          <t>A028</t>
        </is>
      </c>
      <c r="C43" t="inlineStr">
        <is>
          <t>yes</t>
        </is>
      </c>
      <c r="D43" t="inlineStr">
        <is>
          <t>Sell this tower for 50% of what you paid, including upgrade costs. |n|nRoyal Family towers return 90%. |n|nDamaged towers will return only a % of the costs based on remaining HP.</t>
        </is>
      </c>
      <c r="G43" t="n">
        <v>14</v>
      </c>
      <c r="H43" t="inlineStr">
        <is>
          <t>Brahma's Fix-it Shop; Equipped Peasant 1; Equipped Peasant 2</t>
        </is>
      </c>
    </row>
    <row r="44">
      <c r="A44" t="inlineStr">
        <is>
          <t>Bash III (A02E)</t>
        </is>
      </c>
      <c r="B44" t="inlineStr">
        <is>
          <t>A02E</t>
        </is>
      </c>
      <c r="C44" t="inlineStr">
        <is>
          <t>yes</t>
        </is>
      </c>
      <c r="D44" t="inlineStr">
        <is>
          <t>Gives a 33% chance that an attack will do 1500 bonus damage and stun a non-hero ground creep for 3 seconds.</t>
        </is>
      </c>
      <c r="G44" t="n">
        <v>1</v>
      </c>
      <c r="H44" t="inlineStr">
        <is>
          <t>Icy Skewer</t>
        </is>
      </c>
    </row>
    <row r="45">
      <c r="A45" t="inlineStr">
        <is>
          <t>Prison of Ice (A02U)</t>
        </is>
      </c>
      <c r="B45" t="inlineStr">
        <is>
          <t>A02U</t>
        </is>
      </c>
      <c r="C45" t="inlineStr">
        <is>
          <t>yes</t>
        </is>
      </c>
      <c r="D45" t="inlineStr">
        <is>
          <t>Absolute Zero's attacks freezes a target enemy for 3.5 seconds. During that time the enemy cannot move or attack.</t>
        </is>
      </c>
      <c r="G45" t="n">
        <v>1</v>
      </c>
      <c r="H45" t="inlineStr">
        <is>
          <t>Absolute Zero</t>
        </is>
      </c>
    </row>
    <row r="46">
      <c r="A46" t="inlineStr">
        <is>
          <t>Gooify (A02X)</t>
        </is>
      </c>
      <c r="B46" t="inlineStr">
        <is>
          <t>A02X</t>
        </is>
      </c>
      <c r="C46" t="inlineStr">
        <is>
          <t>yes</t>
        </is>
      </c>
      <c r="D46" t="inlineStr">
        <is>
          <t>Costs 6 mana per attack, else Krotas will stop.|n|nEach attack made is enhanced with living flames that cling to the target. These flames add 725 damage on the first attack, twice as much on the second attack, three times as much on the third attack, etc.|n|nIf a unit dies while under this effect, it is incinerated, causing up to 5000 damage to all nearby hostile units.|n|nUnits dealt a killing blow by Krotas will occasionally explode in a wave of frost that slows nearby enemies.</t>
        </is>
      </c>
      <c r="G46" t="n">
        <v>1</v>
      </c>
      <c r="H46" t="inlineStr">
        <is>
          <t>Krotas</t>
        </is>
      </c>
    </row>
    <row r="47">
      <c r="A47" t="inlineStr">
        <is>
          <t>Vindicator I (A02Y)</t>
        </is>
      </c>
      <c r="B47" t="inlineStr">
        <is>
          <t>A02Y</t>
        </is>
      </c>
      <c r="C47" t="inlineStr">
        <is>
          <t>yes</t>
        </is>
      </c>
      <c r="D47" t="inlineStr">
        <is>
          <t>Gives a 50% chance to do 3.5 times normal damage on an attack. Crits against attacking units.</t>
        </is>
      </c>
      <c r="G47" t="n">
        <v>6</v>
      </c>
      <c r="H47" t="inlineStr">
        <is>
          <t>Orobos Slave; Iron Mistress; Cloud Buster</t>
        </is>
      </c>
    </row>
    <row r="48">
      <c r="A48" t="inlineStr">
        <is>
          <t>Vindicator III (A02Z)</t>
        </is>
      </c>
      <c r="B48" t="inlineStr">
        <is>
          <t>A02Z</t>
        </is>
      </c>
      <c r="C48" t="inlineStr">
        <is>
          <t>yes</t>
        </is>
      </c>
      <c r="D48" t="inlineStr">
        <is>
          <t>Gives a 50% chance to do 10 times normal damage on an attack. Crits against attacking units.</t>
        </is>
      </c>
      <c r="G48" t="n">
        <v>7</v>
      </c>
      <c r="H48" t="inlineStr">
        <is>
          <t>Hylgion Militia; Impervious Armor; Equipped Peasant 4</t>
        </is>
      </c>
    </row>
    <row r="49">
      <c r="A49" t="inlineStr">
        <is>
          <t>Vindicator II (A03C)</t>
        </is>
      </c>
      <c r="B49" t="inlineStr">
        <is>
          <t>A03C</t>
        </is>
      </c>
      <c r="C49" t="inlineStr">
        <is>
          <t>yes</t>
        </is>
      </c>
      <c r="D49" t="inlineStr">
        <is>
          <t>Gives a 50% chance to do 6 times normal damage on an attack. Crits against attacking units.</t>
        </is>
      </c>
      <c r="G49" t="n">
        <v>8</v>
      </c>
      <c r="H49" t="inlineStr">
        <is>
          <t>Peasant; Bladesmith; Equipped Peasant 1</t>
        </is>
      </c>
    </row>
    <row r="50">
      <c r="A50" t="inlineStr">
        <is>
          <t>Boss Assassin I (A03D)</t>
        </is>
      </c>
      <c r="B50" t="inlineStr">
        <is>
          <t>A03D</t>
        </is>
      </c>
      <c r="C50" t="inlineStr">
        <is>
          <t>yes</t>
        </is>
      </c>
      <c r="D50" t="inlineStr">
        <is>
          <t>Deals 4x damage to heroes. Crits 50% of the time.</t>
        </is>
      </c>
      <c r="G50" t="n">
        <v>12</v>
      </c>
      <c r="H50" t="inlineStr">
        <is>
          <t>Myrkridon Trow; Father Dragon; Hunter</t>
        </is>
      </c>
    </row>
    <row r="51">
      <c r="A51" t="inlineStr">
        <is>
          <t>Slow Aura I (A03M)</t>
        </is>
      </c>
      <c r="B51" t="inlineStr">
        <is>
          <t>A03M</t>
        </is>
      </c>
      <c r="C51" t="inlineStr">
        <is>
          <t>yes</t>
        </is>
      </c>
      <c r="D51" t="inlineStr">
        <is>
          <t>Decreases nearby enemy units' movement speed by 5% and attack rate by 5%.|nThis aura stacks with Slow Aura II.</t>
        </is>
      </c>
      <c r="G51" t="n">
        <v>1</v>
      </c>
      <c r="H51" t="inlineStr">
        <is>
          <t>Sapphire Ward</t>
        </is>
      </c>
    </row>
    <row r="52">
      <c r="A52" t="inlineStr">
        <is>
          <t>Slow Aura II (A03N)</t>
        </is>
      </c>
      <c r="B52" t="inlineStr">
        <is>
          <t>A03N</t>
        </is>
      </c>
      <c r="C52" t="inlineStr">
        <is>
          <t>yes</t>
        </is>
      </c>
      <c r="D52" t="inlineStr">
        <is>
          <t>Decreases nearby enemy units' movement speed by 10% and attack rate by 10%.|nThis aura stacks with Slow Aura I.</t>
        </is>
      </c>
      <c r="G52" t="n">
        <v>1</v>
      </c>
      <c r="H52" t="inlineStr">
        <is>
          <t>Purity Ward</t>
        </is>
      </c>
    </row>
    <row r="53">
      <c r="A53" t="inlineStr">
        <is>
          <t>Toughness Aura II (A03P)</t>
        </is>
      </c>
      <c r="B53" t="inlineStr">
        <is>
          <t>A03P</t>
        </is>
      </c>
      <c r="C53" t="inlineStr">
        <is>
          <t>yes</t>
        </is>
      </c>
      <c r="D53" t="inlineStr">
        <is>
          <t>Gives 3 additional armor to nearby friendly towers.|nThis aura stacks with Toughness Aura I.</t>
        </is>
      </c>
      <c r="G53" t="n">
        <v>1</v>
      </c>
      <c r="H53" t="inlineStr">
        <is>
          <t>Roseate Ward</t>
        </is>
      </c>
    </row>
    <row r="54">
      <c r="A54" t="inlineStr">
        <is>
          <t>Repel Aura (A03Q)</t>
        </is>
      </c>
      <c r="B54" t="inlineStr">
        <is>
          <t>A03Q</t>
        </is>
      </c>
      <c r="C54" t="inlineStr">
        <is>
          <t>yes</t>
        </is>
      </c>
      <c r="D54" t="inlineStr">
        <is>
          <t>Decreases nearby attacking ground enemy units' attack rates by 20%.</t>
        </is>
      </c>
      <c r="G54" t="n">
        <v>1</v>
      </c>
      <c r="H54" t="inlineStr">
        <is>
          <t>Repel</t>
        </is>
      </c>
    </row>
    <row r="55">
      <c r="A55" t="inlineStr">
        <is>
          <t>Missile Salvo I (A03R)</t>
        </is>
      </c>
      <c r="B55" t="inlineStr">
        <is>
          <t>A03R</t>
        </is>
      </c>
      <c r="C55" t="inlineStr">
        <is>
          <t>yes</t>
        </is>
      </c>
      <c r="D55" t="inlineStr">
        <is>
          <t>Fires a secondary volley of boulders that target nearby enemies.</t>
        </is>
      </c>
      <c r="G55" t="n">
        <v>1</v>
      </c>
      <c r="H55" t="inlineStr">
        <is>
          <t>Bombardment</t>
        </is>
      </c>
    </row>
    <row r="56">
      <c r="A56" t="inlineStr">
        <is>
          <t>Missile Salvo II (A03S)</t>
        </is>
      </c>
      <c r="B56" t="inlineStr">
        <is>
          <t>A03S</t>
        </is>
      </c>
      <c r="C56" t="inlineStr">
        <is>
          <t>yes</t>
        </is>
      </c>
      <c r="D56" t="inlineStr">
        <is>
          <t>Fires a secondary volley of missiles that target nearby enemies.</t>
        </is>
      </c>
      <c r="G56" t="n">
        <v>1</v>
      </c>
      <c r="H56" t="inlineStr">
        <is>
          <t>Interceptor Factory</t>
        </is>
      </c>
    </row>
    <row r="57">
      <c r="A57" t="inlineStr">
        <is>
          <t>Cure I (A03U)</t>
        </is>
      </c>
      <c r="B57" t="inlineStr">
        <is>
          <t>A03U</t>
        </is>
      </c>
      <c r="C57" t="inlineStr">
        <is>
          <t>yes</t>
        </is>
      </c>
      <c r="D57" t="inlineStr">
        <is>
          <t>Heals a target friendly tower for 1500 HP.|n|nCooldown = 50 seconds.</t>
        </is>
      </c>
      <c r="G57" t="n">
        <v>4</v>
      </c>
      <c r="H57" t="inlineStr">
        <is>
          <t>Frigid Dryad; The Pride of Moon Star; Slammer</t>
        </is>
      </c>
    </row>
    <row r="58">
      <c r="A58" t="inlineStr">
        <is>
          <t>Cure II (A03V)</t>
        </is>
      </c>
      <c r="B58" t="inlineStr">
        <is>
          <t>A03V</t>
        </is>
      </c>
      <c r="C58" t="inlineStr">
        <is>
          <t>yes</t>
        </is>
      </c>
      <c r="D58" t="inlineStr">
        <is>
          <t>Heals a target friendly tower for 2500 HP. |n|nCooldown = 35 seconds.</t>
        </is>
      </c>
      <c r="G58" t="n">
        <v>4</v>
      </c>
      <c r="H58" t="inlineStr">
        <is>
          <t>Delfino; Evolved Dweller; High Priest</t>
        </is>
      </c>
    </row>
    <row r="59">
      <c r="A59" t="inlineStr">
        <is>
          <t>Regeneration (A03W)</t>
        </is>
      </c>
      <c r="B59" t="inlineStr">
        <is>
          <t>A03W</t>
        </is>
      </c>
      <c r="C59" t="inlineStr">
        <is>
          <t>yes</t>
        </is>
      </c>
      <c r="D59" t="inlineStr">
        <is>
          <t>This tower regenerates 12 HP per second.</t>
        </is>
      </c>
      <c r="G59" t="n">
        <v>4</v>
      </c>
      <c r="H59" t="inlineStr">
        <is>
          <t>Exiled Soul; Quickshot; Cross Bow</t>
        </is>
      </c>
    </row>
    <row r="60">
      <c r="A60" t="inlineStr">
        <is>
          <t>Air Slow Poison (A03X)</t>
        </is>
      </c>
      <c r="B60" t="inlineStr">
        <is>
          <t>A03X</t>
        </is>
      </c>
      <c r="C60" t="inlineStr">
        <is>
          <t>yes</t>
        </is>
      </c>
      <c r="D60" t="inlineStr">
        <is>
          <t>A non-lethal poison that slows the target organic air enemy's movement by 70%.|n|nAll poison types stacks with each other.</t>
        </is>
      </c>
      <c r="G60" t="n">
        <v>1</v>
      </c>
      <c r="H60" t="inlineStr">
        <is>
          <t>Ignatious</t>
        </is>
      </c>
    </row>
    <row r="61">
      <c r="A61" t="inlineStr">
        <is>
          <t>Machine Critical Strike (A03Y)</t>
        </is>
      </c>
      <c r="B61" t="inlineStr">
        <is>
          <t>A03Y</t>
        </is>
      </c>
      <c r="C61" t="inlineStr">
        <is>
          <t>yes</t>
        </is>
      </c>
      <c r="D61" t="inlineStr">
        <is>
          <t>Gives a 40% chance to do 3 times normal damage on an attack. Crits against mechanical units only.</t>
        </is>
      </c>
      <c r="G61" t="n">
        <v>5</v>
      </c>
      <c r="H61" t="inlineStr">
        <is>
          <t>Brahma's Fix-it Shop; Sewage Surprise; Xavier</t>
        </is>
      </c>
    </row>
    <row r="62">
      <c r="A62" t="inlineStr">
        <is>
          <t>Fortitude (A047)</t>
        </is>
      </c>
      <c r="B62" t="inlineStr">
        <is>
          <t>A047</t>
        </is>
      </c>
      <c r="C62" t="inlineStr">
        <is>
          <t>yes</t>
        </is>
      </c>
      <c r="D62" t="inlineStr">
        <is>
          <t>This unit has above average hitpoints and armor when compared to other towers of its tier.</t>
        </is>
      </c>
      <c r="G62" t="n">
        <v>15</v>
      </c>
      <c r="H62" t="inlineStr">
        <is>
          <t>Bladesmith; Impervious Armor; Evolved Dweller</t>
        </is>
      </c>
    </row>
    <row r="63">
      <c r="A63" t="inlineStr">
        <is>
          <t>Super Regeneration (A070)</t>
        </is>
      </c>
      <c r="B63" t="inlineStr">
        <is>
          <t>A070</t>
        </is>
      </c>
      <c r="C63" t="inlineStr">
        <is>
          <t>yes</t>
        </is>
      </c>
      <c r="D63" t="inlineStr">
        <is>
          <t>This tower regenerates 45 HP per second.</t>
        </is>
      </c>
      <c r="G63" t="n">
        <v>1</v>
      </c>
      <c r="H63" t="inlineStr">
        <is>
          <t>Brahma's Fix-it Shop</t>
        </is>
      </c>
    </row>
    <row r="64">
      <c r="A64" t="inlineStr">
        <is>
          <t>Sacrifice (A07P)</t>
        </is>
      </c>
      <c r="B64" t="inlineStr">
        <is>
          <t>A07P</t>
        </is>
      </c>
      <c r="C64" t="inlineStr">
        <is>
          <t>yes</t>
        </is>
      </c>
      <c r="D64" t="inlineStr">
        <is>
          <t>Sacrifice this tower, activating its on-death ability.</t>
        </is>
      </c>
      <c r="G64" t="n">
        <v>3</v>
      </c>
      <c r="H64" t="inlineStr">
        <is>
          <t>Mana Well; Phoenix Spawn; Unstable Flux</t>
        </is>
      </c>
    </row>
    <row r="65">
      <c r="A65" t="inlineStr">
        <is>
          <t>Ball Lightning (A07R)</t>
        </is>
      </c>
      <c r="B65" t="inlineStr">
        <is>
          <t>A07R</t>
        </is>
      </c>
      <c r="C65" t="inlineStr">
        <is>
          <t>yes</t>
        </is>
      </c>
      <c r="D65" t="inlineStr">
        <is>
          <t>Hurls a bolt of electricity at target for 162 damage and jumps to strike 5 additional targets.</t>
        </is>
      </c>
      <c r="G65" t="n">
        <v>1</v>
      </c>
      <c r="H65" t="inlineStr">
        <is>
          <t>Aspect of Lightning</t>
        </is>
      </c>
    </row>
    <row r="66">
      <c r="A66" t="inlineStr">
        <is>
          <t>Arctic Blast (A07S)</t>
        </is>
      </c>
      <c r="B66" t="inlineStr">
        <is>
          <t>A07S</t>
        </is>
      </c>
      <c r="C66" t="inlineStr">
        <is>
          <t>yes</t>
        </is>
      </c>
      <c r="D66" t="inlineStr">
        <is>
          <t>Blasts enemy units with a wave of frost that slows and damages nearby enemies for 120 damage.</t>
        </is>
      </c>
      <c r="G66" t="n">
        <v>1</v>
      </c>
      <c r="H66" t="inlineStr">
        <is>
          <t>Arctic Blaster</t>
        </is>
      </c>
    </row>
    <row r="67">
      <c r="A67" t="inlineStr">
        <is>
          <t>Tsukikaze (A07T)</t>
        </is>
      </c>
      <c r="B67" t="inlineStr">
        <is>
          <t>A07T</t>
        </is>
      </c>
      <c r="C67" t="inlineStr">
        <is>
          <t>yes</t>
        </is>
      </c>
      <c r="D67" t="inlineStr">
        <is>
          <t>Hurts a bolt of electricity at target for 3700 damage and jumps to strike 10 additional targets.</t>
        </is>
      </c>
      <c r="G67" t="n">
        <v>1</v>
      </c>
      <c r="H67" t="inlineStr">
        <is>
          <t>Tsukikaze Warrior</t>
        </is>
      </c>
    </row>
    <row r="68">
      <c r="A68" t="inlineStr">
        <is>
          <t>Soothe Foundation (A080)</t>
        </is>
      </c>
      <c r="B68" t="inlineStr">
        <is>
          <t>A080</t>
        </is>
      </c>
      <c r="C68" t="inlineStr">
        <is>
          <t>yes</t>
        </is>
      </c>
      <c r="D68" t="inlineStr">
        <is>
          <t>Restores 15 hit points to nearby friendly units in a very large radius.</t>
        </is>
      </c>
      <c r="G68" t="n">
        <v>1</v>
      </c>
      <c r="H68" t="inlineStr">
        <is>
          <t>Rebuilder</t>
        </is>
      </c>
    </row>
    <row r="69">
      <c r="A69" t="inlineStr">
        <is>
          <t>(Dummy Ability - Life Steal) (Aabr)</t>
        </is>
      </c>
      <c r="B69" t="inlineStr">
        <is>
          <t>Aabr</t>
        </is>
      </c>
      <c r="C69" t="inlineStr">
        <is>
          <t>yes</t>
        </is>
      </c>
      <c r="D69" t="inlineStr">
        <is>
          <t>This tower's attack heals itself for a portion of damage dealt to enemy ground units.</t>
        </is>
      </c>
      <c r="G69" t="n">
        <v>3</v>
      </c>
      <c r="H69" t="inlineStr">
        <is>
          <t>Heartseeker; Chibidevil; Poison Dragon</t>
        </is>
      </c>
    </row>
    <row r="70">
      <c r="A70" t="inlineStr">
        <is>
          <t>Freezing Field (Aamk)</t>
        </is>
      </c>
      <c r="B70" t="inlineStr">
        <is>
          <t>Aamk</t>
        </is>
      </c>
      <c r="C70" t="inlineStr">
        <is>
          <t>yes</t>
        </is>
      </c>
      <c r="D70" t="inlineStr">
        <is>
          <t>Costs 30 mana per attack, else the Field will stop.|n|nFreezing Field attacks deal 575 frost damage to nearby enemies and slows their movement rate and attack speed for 3 seconds.</t>
        </is>
      </c>
      <c r="G70" t="n">
        <v>1</v>
      </c>
      <c r="H70" t="inlineStr">
        <is>
          <t>Freezing Field</t>
        </is>
      </c>
    </row>
    <row r="71">
      <c r="A71" t="inlineStr">
        <is>
          <t>Grounding Curse (Aap1)</t>
        </is>
      </c>
      <c r="B71" t="inlineStr">
        <is>
          <t>Aap1</t>
        </is>
      </c>
      <c r="C71" t="inlineStr">
        <is>
          <t>yes</t>
        </is>
      </c>
      <c r="D71" t="inlineStr">
        <is>
          <t>Damages nearby enemy ground units over time with a lightning curse. Deals 1000 damage per second. |nLasts 12 seconds.</t>
        </is>
      </c>
      <c r="G71" t="n">
        <v>1</v>
      </c>
      <c r="H71" t="inlineStr">
        <is>
          <t>Von Chillspeak</t>
        </is>
      </c>
    </row>
    <row r="72">
      <c r="A72" t="inlineStr">
        <is>
          <t>Bash II (ACbh)</t>
        </is>
      </c>
      <c r="B72" t="inlineStr">
        <is>
          <t>ACbh</t>
        </is>
      </c>
      <c r="C72" t="inlineStr">
        <is>
          <t>yes</t>
        </is>
      </c>
      <c r="D72" t="inlineStr">
        <is>
          <t>Gives a 20% chance that an attack will do 235 bonus damage and stun a non-hero ground creep for 2 seconds.</t>
        </is>
      </c>
      <c r="G72" t="n">
        <v>3</v>
      </c>
      <c r="H72" t="inlineStr">
        <is>
          <t>Impervious Armor; Captain Bartlebee; Battleship Mackinaw</t>
        </is>
      </c>
    </row>
    <row r="73">
      <c r="A73" t="inlineStr">
        <is>
          <t>Thresh Arrow (ACca)</t>
        </is>
      </c>
      <c r="B73" t="inlineStr">
        <is>
          <t>ACca</t>
        </is>
      </c>
      <c r="C73" t="inlineStr">
        <is>
          <t>yes</t>
        </is>
      </c>
      <c r="D73" t="inlineStr">
        <is>
          <t>When Havocwing attacks, she tightens the pressure her bow and releases it in a blazing path. |nThe attack strikes enemies in a line for 475 damage.</t>
        </is>
      </c>
      <c r="G73" t="n">
        <v>1</v>
      </c>
      <c r="H73" t="inlineStr">
        <is>
          <t>Havocwing</t>
        </is>
      </c>
    </row>
    <row r="74">
      <c r="A74" t="inlineStr">
        <is>
          <t>Healing Aura (ACce)</t>
        </is>
      </c>
      <c r="B74" t="inlineStr">
        <is>
          <t>ACce</t>
        </is>
      </c>
      <c r="C74" t="inlineStr">
        <is>
          <t>yes</t>
        </is>
      </c>
      <c r="D74" t="inlineStr">
        <is>
          <t>The Village Medic heals himself and nearby friendly towers for 2 hitpoints a second. Radius measured in game as under 800 (owner 2026-09-10); the tooltip states none.</t>
        </is>
      </c>
      <c r="G74" t="n">
        <v>1</v>
      </c>
      <c r="H74" t="inlineStr">
        <is>
          <t>Village Medic</t>
        </is>
      </c>
    </row>
    <row r="75">
      <c r="A75" t="inlineStr">
        <is>
          <t>Hunter's Fervor (ACcl)</t>
        </is>
      </c>
      <c r="B75" t="inlineStr">
        <is>
          <t>ACcl</t>
        </is>
      </c>
      <c r="C75" t="inlineStr">
        <is>
          <t>yes</t>
        </is>
      </c>
      <c r="D75" t="inlineStr">
        <is>
          <t>Hurls a devastating ray of power that ricochets off the first foe and strikes 14 others at 5% less power. Deals 3000 on the first strike.</t>
        </is>
      </c>
      <c r="G75" t="n">
        <v>2</v>
      </c>
      <c r="H75" t="inlineStr">
        <is>
          <t>Mercurial Predator; Unrivaled Destroyer</t>
        </is>
      </c>
    </row>
    <row r="76">
      <c r="A76" t="inlineStr">
        <is>
          <t>Winter's Bite (ACcw)</t>
        </is>
      </c>
      <c r="B76" t="inlineStr">
        <is>
          <t>ACcw</t>
        </is>
      </c>
      <c r="C76" t="inlineStr">
        <is>
          <t>yes</t>
        </is>
      </c>
      <c r="D76" t="inlineStr">
        <is>
          <t>Adds 54 cold damage to an attack and slows target, but drains mana with each shot fired.</t>
        </is>
      </c>
      <c r="G76" t="n">
        <v>1</v>
      </c>
      <c r="H76" t="inlineStr">
        <is>
          <t>Aspect of Cold</t>
        </is>
      </c>
    </row>
    <row r="77">
      <c r="A77" t="inlineStr">
        <is>
          <t>Empathic Fix (AChv)</t>
        </is>
      </c>
      <c r="B77" t="inlineStr">
        <is>
          <t>AChv</t>
        </is>
      </c>
      <c r="C77" t="inlineStr">
        <is>
          <t>yes</t>
        </is>
      </c>
      <c r="D77" t="inlineStr">
        <is>
          <t>The unselfish Tinker "Brahma" attempts to fix a friendly tower for all its damage, but in the process damages his Shop for (1.5 * damage). This penalty is not applied if this spell is used to fix another Brahma Shop. |n|nThis spell will never take Brahma's Shop below 150 life.</t>
        </is>
      </c>
      <c r="G77" t="n">
        <v>1</v>
      </c>
      <c r="H77" t="inlineStr">
        <is>
          <t>Brahma's Fix-it Shop</t>
        </is>
      </c>
    </row>
    <row r="78">
      <c r="A78" t="inlineStr">
        <is>
          <t>Fury of the Gods (ACmo)</t>
        </is>
      </c>
      <c r="B78" t="inlineStr">
        <is>
          <t>ACmo</t>
        </is>
      </c>
      <c r="C78" t="inlineStr">
        <is>
          <t>yes</t>
        </is>
      </c>
      <c r="D78" t="inlineStr">
        <is>
          <t>Calls down a storm of lightning to strike enemy units for 580 damage in a target area. |nLasts 10 seconds.</t>
        </is>
      </c>
      <c r="G78" t="n">
        <v>1</v>
      </c>
      <c r="H78" t="inlineStr">
        <is>
          <t>Kazaana</t>
        </is>
      </c>
    </row>
    <row r="79">
      <c r="A79" t="inlineStr">
        <is>
          <t>Moon Stone Cannon (ACsh)</t>
        </is>
      </c>
      <c r="B79" t="inlineStr">
        <is>
          <t>ACsh</t>
        </is>
      </c>
      <c r="C79" t="inlineStr">
        <is>
          <t>yes</t>
        </is>
      </c>
      <c r="D79" t="inlineStr">
        <is>
          <t>Matter evaporates when the potent forces of this attack strikes flesh. Deals 1250 damage to units in a line. Very fast cooldown.</t>
        </is>
      </c>
      <c r="G79" t="n">
        <v>1</v>
      </c>
      <c r="H79" t="inlineStr">
        <is>
          <t>Delphinus</t>
        </is>
      </c>
    </row>
    <row r="80">
      <c r="A80" t="inlineStr">
        <is>
          <t>Vampiric Aura (ACvp)</t>
        </is>
      </c>
      <c r="B80" t="inlineStr">
        <is>
          <t>ACvp</t>
        </is>
      </c>
      <c r="C80" t="inlineStr">
        <is>
          <t>yes</t>
        </is>
      </c>
      <c r="D80" t="inlineStr">
        <is>
          <t>Vampiric Aura (Passive)</t>
        </is>
      </c>
      <c r="F80" t="inlineStr">
        <is>
          <t>yes</t>
        </is>
      </c>
      <c r="G80" t="n">
        <v>1</v>
      </c>
      <c r="H80" t="inlineStr">
        <is>
          <t>Reaperspawn</t>
        </is>
      </c>
    </row>
    <row r="81">
      <c r="A81" t="inlineStr">
        <is>
          <t>Starburst (AEsf)</t>
        </is>
      </c>
      <c r="B81" t="inlineStr">
        <is>
          <t>AEsf</t>
        </is>
      </c>
      <c r="C81" t="inlineStr">
        <is>
          <t>yes</t>
        </is>
      </c>
      <c r="D81" t="inlineStr">
        <is>
          <t>Calls down waves of falling stars that damage nearby enemy units in a huge radius. Each wave deals 1200 damage. |nCooldown = 15 seconds.</t>
        </is>
      </c>
      <c r="G81" t="n">
        <v>1</v>
      </c>
      <c r="H81" t="inlineStr">
        <is>
          <t>Star Buster</t>
        </is>
      </c>
    </row>
    <row r="82">
      <c r="A82" t="inlineStr">
        <is>
          <t>Life Boon (AEtq)</t>
        </is>
      </c>
      <c r="B82" t="inlineStr">
        <is>
          <t>AEtq</t>
        </is>
      </c>
      <c r="C82" t="inlineStr">
        <is>
          <t>yes</t>
        </is>
      </c>
      <c r="D82" t="inlineStr">
        <is>
          <t>Heals 30 HP per second for 30 seconds — 900 HP total. The map names this ability but leaves its description EMPTY, so the owner's in-game read (2026-09-10) is the only source.</t>
        </is>
      </c>
      <c r="G82" t="n">
        <v>1</v>
      </c>
      <c r="H82" t="inlineStr">
        <is>
          <t>General Ninpou</t>
        </is>
      </c>
    </row>
    <row r="83">
      <c r="A83" t="inlineStr">
        <is>
          <t>Sunder Armor (Afbb)</t>
        </is>
      </c>
      <c r="B83" t="inlineStr">
        <is>
          <t>Afbb</t>
        </is>
      </c>
      <c r="C83" t="inlineStr">
        <is>
          <t>yes</t>
        </is>
      </c>
      <c r="D83" t="inlineStr">
        <is>
          <t>Heartseeker attacks have a chance to reduce the victim's armor by 3. This effect stacks up to 3 times.</t>
        </is>
      </c>
      <c r="G83" t="n">
        <v>1</v>
      </c>
      <c r="H83" t="inlineStr">
        <is>
          <t>Heartseeker</t>
        </is>
      </c>
    </row>
    <row r="84">
      <c r="A84" t="inlineStr">
        <is>
          <t>Frost I (Afra)</t>
        </is>
      </c>
      <c r="B84" t="inlineStr">
        <is>
          <t>Afra</t>
        </is>
      </c>
      <c r="C84" t="inlineStr">
        <is>
          <t>yes</t>
        </is>
      </c>
      <c r="D84" t="inlineStr">
        <is>
          <t>Adds a cold effect to this unit's attacks that slows enemy units' movement speed for a short period of time</t>
        </is>
      </c>
      <c r="G84" t="n">
        <v>9</v>
      </c>
      <c r="H84" t="inlineStr">
        <is>
          <t>Shinobi; Orobos Slave; Impervious Armor</t>
        </is>
      </c>
    </row>
    <row r="85">
      <c r="A85" t="inlineStr">
        <is>
          <t>Stone Cold (Afrz)</t>
        </is>
      </c>
      <c r="B85" t="inlineStr">
        <is>
          <t>Afrz</t>
        </is>
      </c>
      <c r="C85" t="inlineStr">
        <is>
          <t>yes</t>
        </is>
      </c>
      <c r="D85" t="inlineStr">
        <is>
          <t>Costs 175 mana per attack, else Von Chillspeak will stop.|n|nVon Chillspeak's attacks freeze a target enemy for 6.5 seconds. During that time the enemy cannot move or attack.</t>
        </is>
      </c>
      <c r="G85" t="n">
        <v>1</v>
      </c>
      <c r="H85" t="inlineStr">
        <is>
          <t>Von Chillspeak</t>
        </is>
      </c>
    </row>
    <row r="86">
      <c r="A86" t="inlineStr">
        <is>
          <t>Toughness Aura I (AHad)</t>
        </is>
      </c>
      <c r="B86" t="inlineStr">
        <is>
          <t>AHad</t>
        </is>
      </c>
      <c r="C86" t="inlineStr">
        <is>
          <t>yes</t>
        </is>
      </c>
      <c r="D86" t="inlineStr">
        <is>
          <t>Gives 2 additional armor to nearby friendly towers.|nThis aura stacks with Toughness Aura II.</t>
        </is>
      </c>
      <c r="G86" t="n">
        <v>1</v>
      </c>
      <c r="H86" t="inlineStr">
        <is>
          <t>Protection Ward</t>
        </is>
      </c>
    </row>
    <row r="87">
      <c r="A87" t="inlineStr">
        <is>
          <t>Divine Shield (AHds)</t>
        </is>
      </c>
      <c r="B87" t="inlineStr">
        <is>
          <t>AHds</t>
        </is>
      </c>
      <c r="C87" t="inlineStr">
        <is>
          <t>yes</t>
        </is>
      </c>
      <c r="D87" t="inlineStr">
        <is>
          <t>Divine Shield</t>
        </is>
      </c>
      <c r="E87" t="inlineStr">
        <is>
          <t>D</t>
        </is>
      </c>
      <c r="G87" t="n">
        <v>2</v>
      </c>
      <c r="H87" t="inlineStr">
        <is>
          <t>Lilianna Mai; Astral Skibi</t>
        </is>
      </c>
    </row>
    <row r="88">
      <c r="A88" t="inlineStr">
        <is>
          <t>Kiss of Flame (AHfa)</t>
        </is>
      </c>
      <c r="B88" t="inlineStr">
        <is>
          <t>AHfa</t>
        </is>
      </c>
      <c r="C88" t="inlineStr">
        <is>
          <t>yes</t>
        </is>
      </c>
      <c r="D88" t="inlineStr">
        <is>
          <t>Adds 83 bonus fire damage to an attack against enemies, but drains mana with each shot fired.</t>
        </is>
      </c>
      <c r="G88" t="n">
        <v>1</v>
      </c>
      <c r="H88" t="inlineStr">
        <is>
          <t>Aspect of Fire</t>
        </is>
      </c>
    </row>
    <row r="89">
      <c r="A89" t="inlineStr">
        <is>
          <t>Area Cure (AIha)</t>
        </is>
      </c>
      <c r="B89" t="inlineStr">
        <is>
          <t>AIha</t>
        </is>
      </c>
      <c r="C89" t="inlineStr">
        <is>
          <t>yes</t>
        </is>
      </c>
      <c r="D89" t="inlineStr">
        <is>
          <t>Heals &lt;AIha,DataA1&gt; hit points to all friendly structures around the caster when used.</t>
        </is>
      </c>
      <c r="G89" t="n">
        <v>1</v>
      </c>
      <c r="H89" t="inlineStr">
        <is>
          <t>Magical Breakthrough</t>
        </is>
      </c>
    </row>
    <row r="90">
      <c r="A90" t="inlineStr">
        <is>
          <t>Electrify (AIhb)</t>
        </is>
      </c>
      <c r="B90" t="inlineStr">
        <is>
          <t>AIhb</t>
        </is>
      </c>
      <c r="C90" t="inlineStr">
        <is>
          <t>yes</t>
        </is>
      </c>
      <c r="D90" t="inlineStr">
        <is>
          <t>Restores this tower's spell cooldown.</t>
        </is>
      </c>
      <c r="G90" t="n">
        <v>4</v>
      </c>
      <c r="H90" t="inlineStr">
        <is>
          <t>Aspect of Lightning; Electrocutioner; Blood Wraith</t>
        </is>
      </c>
    </row>
    <row r="91">
      <c r="A91" t="inlineStr">
        <is>
          <t>Cold Snap (AIm2)</t>
        </is>
      </c>
      <c r="B91" t="inlineStr">
        <is>
          <t>AIm2</t>
        </is>
      </c>
      <c r="C91" t="inlineStr">
        <is>
          <t>yes</t>
        </is>
      </c>
      <c r="D91" t="inlineStr">
        <is>
          <t>Restores this tower's MP completely.</t>
        </is>
      </c>
      <c r="G91" t="n">
        <v>5</v>
      </c>
      <c r="H91" t="inlineStr">
        <is>
          <t>Aspect of Cold; Arctic Blaster; Chilly Bit Striker</t>
        </is>
      </c>
    </row>
    <row r="92">
      <c r="A92" t="inlineStr">
        <is>
          <t>AIva</t>
        </is>
      </c>
      <c r="B92" t="inlineStr">
        <is>
          <t>AIva</t>
        </is>
      </c>
      <c r="C92" t="inlineStr">
        <is>
          <t>yes</t>
        </is>
      </c>
      <c r="G92" t="n">
        <v>2</v>
      </c>
      <c r="H92" t="inlineStr">
        <is>
          <t>Heartseeker; Chibidevil</t>
        </is>
      </c>
    </row>
    <row r="93">
      <c r="A93" t="inlineStr">
        <is>
          <t>Phoenix Income (Amgl)</t>
        </is>
      </c>
      <c r="B93" t="inlineStr">
        <is>
          <t>Amgl</t>
        </is>
      </c>
      <c r="C93" t="inlineStr">
        <is>
          <t>yes</t>
        </is>
      </c>
      <c r="D93" t="inlineStr">
        <is>
          <t>You gain 1 gold for controlling this Phoenix Spawn after every Wave.</t>
        </is>
      </c>
      <c r="G93" t="n">
        <v>1</v>
      </c>
      <c r="H93" t="inlineStr">
        <is>
          <t>Phoenix Spawn</t>
        </is>
      </c>
    </row>
    <row r="94">
      <c r="A94" t="inlineStr">
        <is>
          <t>Phoenix Fire (Amgr)</t>
        </is>
      </c>
      <c r="B94" t="inlineStr">
        <is>
          <t>Amgr</t>
        </is>
      </c>
      <c r="C94" t="inlineStr">
        <is>
          <t>yes</t>
        </is>
      </c>
      <c r="D94" t="inlineStr">
        <is>
          <t>Fires a stream of flame, lighting the primary target enemy on fire and burns it over time. Deals 50 damage a second for 5 seconds.</t>
        </is>
      </c>
      <c r="G94" t="n">
        <v>1</v>
      </c>
      <c r="H94" t="inlineStr">
        <is>
          <t>Judgement Fire</t>
        </is>
      </c>
    </row>
    <row r="95">
      <c r="A95" t="inlineStr">
        <is>
          <t>Scald (ANbf)</t>
        </is>
      </c>
      <c r="B95" t="inlineStr">
        <is>
          <t>ANbf</t>
        </is>
      </c>
      <c r="C95" t="inlineStr">
        <is>
          <t>yes</t>
        </is>
      </c>
      <c r="D95" t="inlineStr">
        <is>
          <t>Erupt a cone of fire at enemy units, dealing 110 damage. Max damage = 660.</t>
        </is>
      </c>
      <c r="G95" t="n">
        <v>1</v>
      </c>
      <c r="H95" t="inlineStr">
        <is>
          <t>Scalding Tower</t>
        </is>
      </c>
    </row>
    <row r="96">
      <c r="A96" t="inlineStr">
        <is>
          <t>Bash I (ANbh)</t>
        </is>
      </c>
      <c r="B96" t="inlineStr">
        <is>
          <t>ANbh</t>
        </is>
      </c>
      <c r="C96" t="inlineStr">
        <is>
          <t>yes</t>
        </is>
      </c>
      <c r="D96" t="inlineStr">
        <is>
          <t>Gives a 20% chance that an attack will do 50 bonus damage and stun a non-hero ground creep for 1.5 seconds.</t>
        </is>
      </c>
      <c r="G96" t="n">
        <v>6</v>
      </c>
      <c r="H96" t="inlineStr">
        <is>
          <t>Myrkridon Trow; Insurrectionist Trow; Equipped Peasant 5</t>
        </is>
      </c>
    </row>
    <row r="97">
      <c r="A97" t="inlineStr">
        <is>
          <t>Chilly Bits Grade Peorth (ANc1)</t>
        </is>
      </c>
      <c r="B97" t="inlineStr">
        <is>
          <t>ANc1</t>
        </is>
      </c>
      <c r="C97" t="inlineStr">
        <is>
          <t>yes</t>
        </is>
      </c>
      <c r="D97" t="inlineStr">
        <is>
          <t>Bombards an area with pure chaos, stunning enemies within an area for 1 second and dealing up to 800 damage.</t>
        </is>
      </c>
      <c r="G97" t="n">
        <v>1</v>
      </c>
      <c r="H97" t="inlineStr">
        <is>
          <t>Chilly Bit Striker</t>
        </is>
      </c>
    </row>
    <row r="98">
      <c r="A98" t="inlineStr">
        <is>
          <t>Upon Death - Unstable Flux (ANca)</t>
        </is>
      </c>
      <c r="B98" t="inlineStr">
        <is>
          <t>ANca</t>
        </is>
      </c>
      <c r="C98" t="inlineStr">
        <is>
          <t>yes</t>
        </is>
      </c>
      <c r="D98" t="inlineStr">
        <is>
          <t>Upon death, the Unstable Flux banishes nearby enemies for 12 seconds. |n|nBanish turns enemies ethereal and slows their movement speed by 50% for 12 seconds. Ethereal creatures cannot attack, but they can cast spells and certain spells cast upon them will have a greater effect.</t>
        </is>
      </c>
      <c r="G98" t="n">
        <v>1</v>
      </c>
      <c r="H98" t="inlineStr">
        <is>
          <t>Unstable Flux</t>
        </is>
      </c>
    </row>
    <row r="99">
      <c r="A99" t="inlineStr">
        <is>
          <t>Activate / Deactivate Mana Detection (ANcl)</t>
        </is>
      </c>
      <c r="B99" t="inlineStr">
        <is>
          <t>ANcl</t>
        </is>
      </c>
      <c r="C99" t="inlineStr">
        <is>
          <t>yes</t>
        </is>
      </c>
      <c r="D99" t="inlineStr">
        <is>
          <t>Toggles the mana bar display for this tower.</t>
        </is>
      </c>
      <c r="G99" t="n">
        <v>15</v>
      </c>
      <c r="H99" t="inlineStr">
        <is>
          <t>Aspect of Cold; Arctic Blaster; Aspect of Fire</t>
        </is>
      </c>
    </row>
    <row r="100">
      <c r="A100" t="inlineStr">
        <is>
          <t>Super Shock (ANfd)</t>
        </is>
      </c>
      <c r="B100" t="inlineStr">
        <is>
          <t>ANfd</t>
        </is>
      </c>
      <c r="C100" t="inlineStr">
        <is>
          <t>yes</t>
        </is>
      </c>
      <c r="D100" t="inlineStr">
        <is>
          <t>Deals 18000 damage to target and completely heals the Blood Wraith.</t>
        </is>
      </c>
      <c r="G100" t="n">
        <v>1</v>
      </c>
      <c r="H100" t="inlineStr">
        <is>
          <t>Blood Wraith</t>
        </is>
      </c>
    </row>
    <row r="101">
      <c r="A101" t="inlineStr">
        <is>
          <t>Forked Lightning (ANfl)</t>
        </is>
      </c>
      <c r="B101" t="inlineStr">
        <is>
          <t>ANfl</t>
        </is>
      </c>
      <c r="C101" t="inlineStr">
        <is>
          <t>yes</t>
        </is>
      </c>
      <c r="D101" t="inlineStr">
        <is>
          <t>Calls forth a cone of lightning at a target enemy unit, hitting up to &lt;ANfl,DataB1&gt; enemy units for &lt;ANfl,DataA1&gt; damage.</t>
        </is>
      </c>
      <c r="E101" t="inlineStr">
        <is>
          <t>F</t>
        </is>
      </c>
      <c r="G101" t="n">
        <v>1</v>
      </c>
      <c r="H101" t="inlineStr">
        <is>
          <t>Electrocutioner</t>
        </is>
      </c>
    </row>
    <row r="102">
      <c r="A102" t="inlineStr">
        <is>
          <t>Healing Wave (ANhw)</t>
        </is>
      </c>
      <c r="B102" t="inlineStr">
        <is>
          <t>ANhw</t>
        </is>
      </c>
      <c r="C102" t="inlineStr">
        <is>
          <t>yes</t>
        </is>
      </c>
      <c r="D102" t="inlineStr">
        <is>
          <t>Calls forth a wave of healing energy that bounces up to &lt;ANhw,DataB1&gt; times, healing &lt;ANhw,DataA1&gt; damage on the primary target.</t>
        </is>
      </c>
      <c r="E102" t="inlineStr">
        <is>
          <t>e</t>
        </is>
      </c>
      <c r="G102" t="n">
        <v>2</v>
      </c>
      <c r="H102" t="inlineStr">
        <is>
          <t>K Dig; Xavier</t>
        </is>
      </c>
    </row>
    <row r="103">
      <c r="A103" t="inlineStr">
        <is>
          <t>Burnify (ANic)</t>
        </is>
      </c>
      <c r="B103" t="inlineStr">
        <is>
          <t>ANic</t>
        </is>
      </c>
      <c r="C103" t="inlineStr">
        <is>
          <t>yes</t>
        </is>
      </c>
      <c r="D103" t="inlineStr">
        <is>
          <t>Costs 6 mana per attack, else the Duke will stop.|n|nEach attack made is enhanced with living flames that cling to the target. These flames add &lt;ANic,DataA1&gt; damage on the first attack, twice as much on the second attack, three times as much on the third attack, etc.|n|nIf a unit dies while under this effect, it is incinerated, causing up to &lt;ANic,DataB1&gt; damage to all nearby hostile units.</t>
        </is>
      </c>
      <c r="G103" t="n">
        <v>1</v>
      </c>
      <c r="H103" t="inlineStr">
        <is>
          <t>Duke Burnify</t>
        </is>
      </c>
    </row>
    <row r="104">
      <c r="A104" t="inlineStr">
        <is>
          <t>Electromagnetic Aura (AOr2)</t>
        </is>
      </c>
      <c r="B104" t="inlineStr">
        <is>
          <t>AOr2</t>
        </is>
      </c>
      <c r="C104" t="inlineStr">
        <is>
          <t>yes</t>
        </is>
      </c>
      <c r="D104" t="inlineStr">
        <is>
          <t>Decreases nearby non-boss enemy units' movement speed and attack rate by 5%.</t>
        </is>
      </c>
      <c r="G104" t="n">
        <v>1</v>
      </c>
      <c r="H104" t="inlineStr">
        <is>
          <t>Unstable Flux</t>
        </is>
      </c>
    </row>
    <row r="105">
      <c r="A105" t="inlineStr">
        <is>
          <t>Apxf</t>
        </is>
      </c>
      <c r="B105" t="inlineStr">
        <is>
          <t>Apxf</t>
        </is>
      </c>
      <c r="C105" t="inlineStr">
        <is>
          <t>yes</t>
        </is>
      </c>
      <c r="G105" t="n">
        <v>1</v>
      </c>
      <c r="H105" t="inlineStr">
        <is>
          <t>Judgement Fire</t>
        </is>
      </c>
    </row>
    <row r="106">
      <c r="A106" t="inlineStr">
        <is>
          <t>Fire Volley (Aroc)</t>
        </is>
      </c>
      <c r="B106" t="inlineStr">
        <is>
          <t>Aroc</t>
        </is>
      </c>
      <c r="C106" t="inlineStr">
        <is>
          <t>yes</t>
        </is>
      </c>
      <c r="D106" t="inlineStr">
        <is>
          <t>Costs 6 mana per attack, else the Hydra will stop.|n|nThe fire hydra's attacks strike multiple enemies for 355 damage, maximum 1065 damage.</t>
        </is>
      </c>
      <c r="G106" t="n">
        <v>1</v>
      </c>
      <c r="H106" t="inlineStr">
        <is>
          <t>Fire Hydra</t>
        </is>
      </c>
    </row>
    <row r="107">
      <c r="A107" t="inlineStr">
        <is>
          <t>Arpm</t>
        </is>
      </c>
      <c r="B107" t="inlineStr">
        <is>
          <t>Arpm</t>
        </is>
      </c>
      <c r="C107" t="inlineStr">
        <is>
          <t>yes</t>
        </is>
      </c>
      <c r="D107" t="inlineStr">
        <is>
          <t>Restores &lt;Arpm,DataB1&gt; mana to nearby friendly units in a 250 radius.</t>
        </is>
      </c>
      <c r="G107" t="n">
        <v>1</v>
      </c>
      <c r="H107" t="inlineStr">
        <is>
          <t>Mana Well</t>
        </is>
      </c>
    </row>
    <row r="108">
      <c r="A108" t="inlineStr">
        <is>
          <t>Slow Poison I (Aspo)</t>
        </is>
      </c>
      <c r="B108" t="inlineStr">
        <is>
          <t>Aspo</t>
        </is>
      </c>
      <c r="C108" t="inlineStr">
        <is>
          <t>yes</t>
        </is>
      </c>
      <c r="D108" t="inlineStr">
        <is>
          <t>A poison attack that deals 4 damage per second, and slows the target organic enemy's movement by 25%.|n|nAll poison types stacks with each other.</t>
        </is>
      </c>
      <c r="G108" t="n">
        <v>16</v>
      </c>
      <c r="H108" t="inlineStr">
        <is>
          <t>Spear Guard; Myrkridon Trow; War Beast</t>
        </is>
      </c>
    </row>
    <row r="109">
      <c r="A109" t="inlineStr">
        <is>
          <t>Upon Death - Mana Well (Asth)</t>
        </is>
      </c>
      <c r="B109" t="inlineStr">
        <is>
          <t>Asth</t>
        </is>
      </c>
      <c r="C109" t="inlineStr">
        <is>
          <t>yes</t>
        </is>
      </c>
      <c r="D109" t="inlineStr">
        <is>
          <t>Upon death, the Mana Well will heal all nearby towers for 1000 HP.</t>
        </is>
      </c>
      <c r="G109" t="n">
        <v>1</v>
      </c>
      <c r="H109" t="inlineStr">
        <is>
          <t>Mana Well</t>
        </is>
      </c>
    </row>
    <row r="110">
      <c r="A110" t="inlineStr">
        <is>
          <t>Upon Death - Phoenix (Atru)</t>
        </is>
      </c>
      <c r="B110" t="inlineStr">
        <is>
          <t>Atru</t>
        </is>
      </c>
      <c r="C110" t="inlineStr">
        <is>
          <t>yes</t>
        </is>
      </c>
      <c r="D110" t="inlineStr">
        <is>
          <t>Upon death, the Phoenix Spawn damages nearby enemies for 250 damage times the number of controlled Fire Reagents. This damage is not prevented by armor or abilities.</t>
        </is>
      </c>
      <c r="G110" t="n">
        <v>1</v>
      </c>
      <c r="H110" t="inlineStr">
        <is>
          <t>Phoenix Spawn</t>
        </is>
      </c>
    </row>
    <row r="111">
      <c r="A111" t="inlineStr">
        <is>
          <t>Foxfire Laser (AUcs)</t>
        </is>
      </c>
      <c r="B111" t="inlineStr">
        <is>
          <t>AUcs</t>
        </is>
      </c>
      <c r="C111" t="inlineStr">
        <is>
          <t>yes</t>
        </is>
      </c>
      <c r="D111" t="inlineStr">
        <is>
          <t>Upon acquiring an enemy target, the Foxfire Laser will channel a ball of destructive energy inside itself and release it at violent speeds. |nThe attack strikes enemies in a line for 290 damage for a maximum of 5800.</t>
        </is>
      </c>
      <c r="G111" t="n">
        <v>1</v>
      </c>
      <c r="H111" t="inlineStr">
        <is>
          <t>Foxfire Laser</t>
        </is>
      </c>
    </row>
    <row r="112">
      <c r="A112" t="inlineStr">
        <is>
          <t>Improved Glacial Spike (S000)</t>
        </is>
      </c>
      <c r="B112" t="inlineStr">
        <is>
          <t>S000</t>
        </is>
      </c>
      <c r="C112" t="inlineStr">
        <is>
          <t>yes</t>
        </is>
      </c>
      <c r="D112" t="inlineStr">
        <is>
          <t>Increases the attack speed of Glacial Spikes by 30%.</t>
        </is>
      </c>
      <c r="G112" t="n">
        <v>1</v>
      </c>
      <c r="H112" t="inlineStr">
        <is>
          <t>Glacial Spike</t>
        </is>
      </c>
    </row>
    <row r="113">
      <c r="A113" t="inlineStr">
        <is>
          <t>Improved Ward (S001)</t>
        </is>
      </c>
      <c r="B113" t="inlineStr">
        <is>
          <t>S001</t>
        </is>
      </c>
      <c r="C113" t="inlineStr">
        <is>
          <t>yes</t>
        </is>
      </c>
      <c r="D113" t="inlineStr">
        <is>
          <t>Increases the attack speed of this Ward by 20%.</t>
        </is>
      </c>
      <c r="G113" t="n">
        <v>4</v>
      </c>
      <c r="H113" t="inlineStr">
        <is>
          <t>Sapphire Ward; Purity Ward; Lilac Ward</t>
        </is>
      </c>
    </row>
  </sheetData>
  <autoFilter ref="A1:I11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9" customWidth="1" min="1" max="1"/>
    <col width="45" customWidth="1" min="2" max="2"/>
    <col width="48" customWidth="1" min="3" max="3"/>
    <col width="45" customWidth="1" min="4" max="4"/>
  </cols>
  <sheetData>
    <row r="1">
      <c r="A1" s="1" t="inlineStr">
        <is>
          <t>wave</t>
        </is>
      </c>
      <c r="B1" s="1" t="inlineStr">
        <is>
          <t>modifiers_classic</t>
        </is>
      </c>
      <c r="C1" s="1" t="inlineStr">
        <is>
          <t>modifiers_impossible</t>
        </is>
      </c>
      <c r="D1" s="1" t="inlineStr">
        <is>
          <t>modifiers_turbo</t>
        </is>
      </c>
    </row>
    <row r="2">
      <c r="A2" t="n">
        <v>1</v>
      </c>
      <c r="B2" t="inlineStr">
        <is>
          <t>Nothing special</t>
        </is>
      </c>
      <c r="C2" t="inlineStr">
        <is>
          <t>Damage Reduction</t>
        </is>
      </c>
      <c r="D2" t="inlineStr">
        <is>
          <t>Nothing special</t>
        </is>
      </c>
    </row>
    <row r="3">
      <c r="A3" t="n">
        <v>2</v>
      </c>
      <c r="B3" t="inlineStr">
        <is>
          <t>Nothing special</t>
        </is>
      </c>
      <c r="C3" t="inlineStr">
        <is>
          <t>Evasion, Regeneration</t>
        </is>
      </c>
      <c r="D3" t="inlineStr">
        <is>
          <t>Nothing special</t>
        </is>
      </c>
    </row>
    <row r="4">
      <c r="A4" t="n">
        <v>3</v>
      </c>
      <c r="B4" t="inlineStr">
        <is>
          <t>Mechanical</t>
        </is>
      </c>
      <c r="C4" t="inlineStr">
        <is>
          <t>Mechanical, Horde</t>
        </is>
      </c>
      <c r="D4" t="inlineStr">
        <is>
          <t>Mechanical</t>
        </is>
      </c>
    </row>
    <row r="5">
      <c r="A5" t="n">
        <v>4</v>
      </c>
      <c r="B5" t="inlineStr">
        <is>
          <t>Air</t>
        </is>
      </c>
      <c r="C5" t="inlineStr">
        <is>
          <t>Air, Flame, Evasion</t>
        </is>
      </c>
      <c r="D5" t="inlineStr">
        <is>
          <t>Air</t>
        </is>
      </c>
    </row>
    <row r="6">
      <c r="A6" t="n">
        <v>5</v>
      </c>
      <c r="B6" t="inlineStr">
        <is>
          <t>Flame Boss</t>
        </is>
      </c>
      <c r="C6" t="inlineStr">
        <is>
          <t>Turtle Boss, Reincarnation</t>
        </is>
      </c>
      <c r="D6" t="inlineStr">
        <is>
          <t>Flame Boss</t>
        </is>
      </c>
    </row>
    <row r="7">
      <c r="A7" t="n">
        <v>6</v>
      </c>
      <c r="B7" t="inlineStr">
        <is>
          <t>Death's Rage</t>
        </is>
      </c>
      <c r="C7" t="inlineStr">
        <is>
          <t>Death's Rage, Regeneration</t>
        </is>
      </c>
      <c r="D7" t="inlineStr">
        <is>
          <t>Death's Rage</t>
        </is>
      </c>
    </row>
    <row r="8">
      <c r="A8" t="n">
        <v>7</v>
      </c>
      <c r="B8" t="inlineStr">
        <is>
          <t>Horde</t>
        </is>
      </c>
      <c r="C8" t="inlineStr">
        <is>
          <t>Oversoul</t>
        </is>
      </c>
      <c r="D8" t="inlineStr">
        <is>
          <t>Nothing special</t>
        </is>
      </c>
    </row>
    <row r="9">
      <c r="A9" t="n">
        <v>8</v>
      </c>
      <c r="B9" t="inlineStr">
        <is>
          <t>Flame</t>
        </is>
      </c>
      <c r="C9" t="inlineStr">
        <is>
          <t>Flame, Extra Fast</t>
        </is>
      </c>
      <c r="D9" t="inlineStr">
        <is>
          <t>Flame</t>
        </is>
      </c>
    </row>
    <row r="10">
      <c r="A10" t="n">
        <v>9</v>
      </c>
      <c r="B10" t="inlineStr">
        <is>
          <t>Air</t>
        </is>
      </c>
      <c r="C10" t="inlineStr">
        <is>
          <t>Air, Death's Rage, Tanker</t>
        </is>
      </c>
      <c r="D10" t="inlineStr">
        <is>
          <t>Air</t>
        </is>
      </c>
    </row>
    <row r="11">
      <c r="A11" t="n">
        <v>10</v>
      </c>
      <c r="B11" t="inlineStr">
        <is>
          <t>Divine Shield Boss</t>
        </is>
      </c>
      <c r="C11" t="inlineStr">
        <is>
          <t>Divine Shield Boss, Mighty Aura</t>
        </is>
      </c>
      <c r="D11" t="inlineStr">
        <is>
          <t>Divine Shield Boss</t>
        </is>
      </c>
    </row>
    <row r="12">
      <c r="A12" t="n">
        <v>11</v>
      </c>
      <c r="B12" t="inlineStr">
        <is>
          <t>Accelerate, Implode</t>
        </is>
      </c>
      <c r="C12" t="inlineStr">
        <is>
          <t>Attackers, Accelerate, Mechanical</t>
        </is>
      </c>
      <c r="D12" t="inlineStr">
        <is>
          <t>Accelerate, Implode</t>
        </is>
      </c>
    </row>
    <row r="13">
      <c r="A13" t="n">
        <v>12</v>
      </c>
      <c r="B13" t="inlineStr">
        <is>
          <t>Oversoul</t>
        </is>
      </c>
      <c r="C13" t="inlineStr">
        <is>
          <t>Oversoul, Damage Reduction</t>
        </is>
      </c>
      <c r="D13" t="inlineStr">
        <is>
          <t>Oversoul</t>
        </is>
      </c>
    </row>
    <row r="14">
      <c r="A14" t="n">
        <v>13</v>
      </c>
      <c r="B14" t="inlineStr">
        <is>
          <t>Nothing special</t>
        </is>
      </c>
      <c r="C14" t="inlineStr">
        <is>
          <t>Flame, Tanker</t>
        </is>
      </c>
      <c r="D14" t="inlineStr">
        <is>
          <t>Nothing special</t>
        </is>
      </c>
    </row>
    <row r="15">
      <c r="A15" t="n">
        <v>14</v>
      </c>
      <c r="B15" t="inlineStr">
        <is>
          <t>Air, Bonus, Shedder, Mechanical</t>
        </is>
      </c>
      <c r="C15" t="inlineStr">
        <is>
          <t>Air, Bonus, Shedder, Mechanical</t>
        </is>
      </c>
      <c r="D15" t="inlineStr">
        <is>
          <t>Air, Bonus, Shedder, Mechanical</t>
        </is>
      </c>
    </row>
    <row r="16">
      <c r="A16" t="n">
        <v>15</v>
      </c>
      <c r="B16" t="inlineStr">
        <is>
          <t>Burst Boss, Phase Shift</t>
        </is>
      </c>
      <c r="C16" t="inlineStr">
        <is>
          <t>Brilliance Boss, Phase Shift, Mana Shield</t>
        </is>
      </c>
      <c r="D16" t="inlineStr">
        <is>
          <t>Burst Boss, Phase Shift</t>
        </is>
      </c>
    </row>
    <row r="17">
      <c r="A17" t="n">
        <v>16</v>
      </c>
      <c r="B17" t="inlineStr">
        <is>
          <t>Flame</t>
        </is>
      </c>
      <c r="C17" t="inlineStr">
        <is>
          <t>Flame, Spell Immune</t>
        </is>
      </c>
      <c r="D17" t="inlineStr">
        <is>
          <t>Flame</t>
        </is>
      </c>
    </row>
    <row r="18">
      <c r="A18" t="n">
        <v>17</v>
      </c>
      <c r="B18" t="inlineStr">
        <is>
          <t>Nothing special</t>
        </is>
      </c>
      <c r="C18" t="inlineStr">
        <is>
          <t>Tanker</t>
        </is>
      </c>
      <c r="D18" t="inlineStr">
        <is>
          <t>Nothing special</t>
        </is>
      </c>
    </row>
    <row r="19">
      <c r="A19" t="n">
        <v>18</v>
      </c>
      <c r="B19" t="inlineStr">
        <is>
          <t>Phase Shift</t>
        </is>
      </c>
      <c r="C19" t="inlineStr">
        <is>
          <t>Attackers, Regeneration</t>
        </is>
      </c>
      <c r="D19" t="inlineStr">
        <is>
          <t>Phase Shift</t>
        </is>
      </c>
    </row>
    <row r="20">
      <c r="A20" t="n">
        <v>19</v>
      </c>
      <c r="B20" t="inlineStr">
        <is>
          <t>Air</t>
        </is>
      </c>
      <c r="C20" t="inlineStr">
        <is>
          <t>Air, Phase Shift</t>
        </is>
      </c>
      <c r="D20" t="inlineStr">
        <is>
          <t>Air</t>
        </is>
      </c>
    </row>
    <row r="21">
      <c r="A21" t="n">
        <v>20</v>
      </c>
      <c r="B21" t="inlineStr">
        <is>
          <t>Area Heal Boss</t>
        </is>
      </c>
      <c r="C21" t="inlineStr">
        <is>
          <t>Mighty Aura Boss, Heavily Armored</t>
        </is>
      </c>
      <c r="D21" t="inlineStr">
        <is>
          <t>Area Heal Boss</t>
        </is>
      </c>
    </row>
    <row r="22">
      <c r="A22" t="n">
        <v>21</v>
      </c>
      <c r="B22" t="inlineStr">
        <is>
          <t>Flame, Oversoul</t>
        </is>
      </c>
      <c r="C22" t="inlineStr">
        <is>
          <t>Flame, Oversoul</t>
        </is>
      </c>
      <c r="D22" t="inlineStr">
        <is>
          <t>Flame, Oversoul</t>
        </is>
      </c>
    </row>
    <row r="23">
      <c r="A23" t="n">
        <v>22</v>
      </c>
      <c r="B23" t="inlineStr">
        <is>
          <t>Extra Fast</t>
        </is>
      </c>
      <c r="C23" t="inlineStr">
        <is>
          <t>Extra Fast, Once More With Feeling!!</t>
        </is>
      </c>
      <c r="D23" t="inlineStr">
        <is>
          <t>Extra Fast</t>
        </is>
      </c>
    </row>
    <row r="24">
      <c r="A24" t="n">
        <v>23</v>
      </c>
      <c r="B24" t="inlineStr">
        <is>
          <t>Attackers</t>
        </is>
      </c>
      <c r="C24" t="inlineStr">
        <is>
          <t>Attackers</t>
        </is>
      </c>
      <c r="D24" t="inlineStr">
        <is>
          <t>Attackers</t>
        </is>
      </c>
    </row>
    <row r="25">
      <c r="A25" t="n">
        <v>24</v>
      </c>
      <c r="B25" t="inlineStr">
        <is>
          <t>Air, Bonus, Shedder, Mechanical</t>
        </is>
      </c>
      <c r="C25" t="inlineStr">
        <is>
          <t>Air, Bonus, Shredder, Mechanical</t>
        </is>
      </c>
      <c r="D25" t="inlineStr">
        <is>
          <t>Air, Bonus, Shedder, Mechanical</t>
        </is>
      </c>
    </row>
    <row r="26">
      <c r="A26" t="n">
        <v>25</v>
      </c>
      <c r="B26" t="inlineStr">
        <is>
          <t>Frost Armor Boss</t>
        </is>
      </c>
      <c r="C26" t="inlineStr">
        <is>
          <t>Taunting Mechanical Boss, Evasion, Damage Reduction</t>
        </is>
      </c>
      <c r="D26" t="inlineStr">
        <is>
          <t>Frost Armor Boss</t>
        </is>
      </c>
    </row>
    <row r="27">
      <c r="A27" t="n">
        <v>26</v>
      </c>
      <c r="B27" t="inlineStr">
        <is>
          <t>Flame, Shedder</t>
        </is>
      </c>
      <c r="C27" t="inlineStr">
        <is>
          <t>Flame Shedder, Mighty Aura, Reincarnation</t>
        </is>
      </c>
      <c r="D27" t="inlineStr">
        <is>
          <t>Flame, Shedder</t>
        </is>
      </c>
    </row>
    <row r="28">
      <c r="A28" t="n">
        <v>27</v>
      </c>
      <c r="B28" t="inlineStr">
        <is>
          <t>Death's Rage</t>
        </is>
      </c>
      <c r="C28" t="inlineStr">
        <is>
          <t>Mechanical Heavily Armored</t>
        </is>
      </c>
      <c r="D28" t="inlineStr">
        <is>
          <t>Death's Rage</t>
        </is>
      </c>
    </row>
    <row r="29">
      <c r="A29" t="n">
        <v>28</v>
      </c>
      <c r="B29" t="inlineStr">
        <is>
          <t>Valor of the Dead</t>
        </is>
      </c>
      <c r="C29" t="inlineStr">
        <is>
          <t>Attackers, Valor of the Dead</t>
        </is>
      </c>
      <c r="D29" t="inlineStr">
        <is>
          <t>Valor of the Dead</t>
        </is>
      </c>
    </row>
    <row r="30">
      <c r="A30" t="n">
        <v>29</v>
      </c>
      <c r="B30" t="inlineStr">
        <is>
          <t>Air</t>
        </is>
      </c>
      <c r="C30" t="inlineStr">
        <is>
          <t>Air, Final Gift, Thick Hide</t>
        </is>
      </c>
      <c r="D30" t="inlineStr">
        <is>
          <t>Air</t>
        </is>
      </c>
    </row>
    <row r="31">
      <c r="A31" t="n">
        <v>30</v>
      </c>
      <c r="B31" t="inlineStr">
        <is>
          <t>Stun Boss</t>
        </is>
      </c>
      <c r="C31" t="inlineStr">
        <is>
          <t>Stun Boss, Blood Bound</t>
        </is>
      </c>
      <c r="D31" t="inlineStr">
        <is>
          <t>Stun Boss</t>
        </is>
      </c>
    </row>
    <row r="32">
      <c r="A32" t="n">
        <v>31</v>
      </c>
      <c r="B32" t="inlineStr">
        <is>
          <t>Flame</t>
        </is>
      </c>
      <c r="C32" t="inlineStr">
        <is>
          <t>Flame</t>
        </is>
      </c>
      <c r="D32" t="inlineStr">
        <is>
          <t>Flame</t>
        </is>
      </c>
    </row>
    <row r="33">
      <c r="A33" t="n">
        <v>32</v>
      </c>
      <c r="B33" t="inlineStr">
        <is>
          <t>Attackers, Reincarnation</t>
        </is>
      </c>
      <c r="C33" t="inlineStr">
        <is>
          <t>Attackers, Mana Shield, Tanker</t>
        </is>
      </c>
      <c r="D33" t="inlineStr">
        <is>
          <t>Attackers, Reincarnation</t>
        </is>
      </c>
    </row>
    <row r="34">
      <c r="A34" t="n">
        <v>33</v>
      </c>
      <c r="B34" t="inlineStr">
        <is>
          <t>Oversoul</t>
        </is>
      </c>
      <c r="C34" t="inlineStr">
        <is>
          <t>Beyond Oversoul</t>
        </is>
      </c>
      <c r="D34" t="inlineStr">
        <is>
          <t>Oversoul</t>
        </is>
      </c>
    </row>
    <row r="35">
      <c r="A35" t="n">
        <v>34</v>
      </c>
      <c r="B35" t="inlineStr">
        <is>
          <t>Air</t>
        </is>
      </c>
      <c r="C35" t="inlineStr">
        <is>
          <t>Air, Shedder</t>
        </is>
      </c>
      <c r="D35" t="inlineStr">
        <is>
          <t>Air</t>
        </is>
      </c>
    </row>
    <row r="36">
      <c r="A36" t="n">
        <v>35</v>
      </c>
      <c r="B36" t="inlineStr">
        <is>
          <t>Duel Aura Boss, Regeneration</t>
        </is>
      </c>
      <c r="C36" t="inlineStr">
        <is>
          <t>Big Bad Voodoo Boss, Regeneration</t>
        </is>
      </c>
      <c r="D36" t="inlineStr">
        <is>
          <t>Duel Aura Boss, Regeneration</t>
        </is>
      </c>
    </row>
    <row r="37">
      <c r="A37" t="n">
        <v>36</v>
      </c>
      <c r="B37" t="inlineStr">
        <is>
          <t>Flame, Bad Seed, Damage Reduction</t>
        </is>
      </c>
      <c r="C37" t="inlineStr">
        <is>
          <t>Flame, Bad Seed, Damage Reduction, Regeneration, Thick Hide</t>
        </is>
      </c>
      <c r="D37" t="inlineStr">
        <is>
          <t>Flame, Bad Seed, Damage Reduction</t>
        </is>
      </c>
    </row>
    <row r="38">
      <c r="A38" t="n">
        <v>37</v>
      </c>
      <c r="B38" t="inlineStr">
        <is>
          <t>Blink</t>
        </is>
      </c>
      <c r="C38" t="inlineStr">
        <is>
          <t>Blink, Valor of the Dead, Mechanical</t>
        </is>
      </c>
      <c r="D38" t="inlineStr">
        <is>
          <t>Blink</t>
        </is>
      </c>
    </row>
    <row r="39">
      <c r="A39" t="n">
        <v>38</v>
      </c>
      <c r="B39" t="inlineStr">
        <is>
          <t>Attackers</t>
        </is>
      </c>
      <c r="C39" t="inlineStr">
        <is>
          <t>Attackers, Shedder, Implode</t>
        </is>
      </c>
      <c r="D39" t="inlineStr">
        <is>
          <t>Attackers</t>
        </is>
      </c>
    </row>
    <row r="40">
      <c r="A40" t="n">
        <v>39</v>
      </c>
      <c r="B40" t="inlineStr">
        <is>
          <t>Air, Mechanical, Oversoul, Damage Reduction</t>
        </is>
      </c>
      <c r="C40" t="inlineStr">
        <is>
          <t>Air, Beyond Oversoul, Damage Reduction</t>
        </is>
      </c>
      <c r="D40" t="inlineStr">
        <is>
          <t>Air, Mechanical, Oversoul, Damage Reduction</t>
        </is>
      </c>
    </row>
    <row r="41">
      <c r="A41" t="n">
        <v>40</v>
      </c>
      <c r="B41" t="inlineStr">
        <is>
          <t>Demoralizing Boss, Flame</t>
        </is>
      </c>
      <c r="C41" t="inlineStr">
        <is>
          <t>Demoralizing Boss, Flame, Tanker</t>
        </is>
      </c>
      <c r="D41" t="inlineStr">
        <is>
          <t>Demoralizing Boss, Flame</t>
        </is>
      </c>
    </row>
    <row r="42">
      <c r="A42" t="n">
        <v>41</v>
      </c>
      <c r="B42" t="inlineStr">
        <is>
          <t>Nothing special</t>
        </is>
      </c>
      <c r="C42" t="inlineStr">
        <is>
          <t>Unarmored, Spell Vulnerability</t>
        </is>
      </c>
      <c r="D42" t="inlineStr">
        <is>
          <t>Nothing special</t>
        </is>
      </c>
    </row>
    <row r="43">
      <c r="A43" t="n">
        <v>42</v>
      </c>
      <c r="B43" t="inlineStr">
        <is>
          <t>Flame</t>
        </is>
      </c>
      <c r="C43" t="inlineStr">
        <is>
          <t>Flame, Implode, Horde, Degeneration</t>
        </is>
      </c>
      <c r="D43" t="inlineStr">
        <is>
          <t>Flame</t>
        </is>
      </c>
    </row>
    <row r="44">
      <c r="A44" t="n">
        <v>43</v>
      </c>
    </row>
    <row r="45">
      <c r="A45" t="n">
        <v>44</v>
      </c>
    </row>
    <row r="46">
      <c r="A46" t="n">
        <v>45</v>
      </c>
    </row>
  </sheetData>
  <autoFilter ref="A1:D4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5" customWidth="1" min="3" max="3"/>
    <col width="10" customWidth="1" min="4" max="4"/>
    <col width="24" customWidth="1" min="5" max="5"/>
    <col width="26" customWidth="1" min="6" max="6"/>
    <col width="48" customWidth="1" min="7" max="7"/>
    <col width="48" customWidth="1" min="8" max="8"/>
    <col width="38" customWidth="1" min="9" max="9"/>
    <col width="28" customWidth="1" min="10" max="10"/>
    <col width="48" customWidth="1" min="11" max="11"/>
  </cols>
  <sheetData>
    <row r="1">
      <c r="A1" s="1" t="inlineStr">
        <is>
          <t>trait</t>
        </is>
      </c>
      <c r="B1" s="1" t="inlineStr">
        <is>
          <t>in_classic</t>
        </is>
      </c>
      <c r="C1" s="1" t="inlineStr">
        <is>
          <t>in_impossible</t>
        </is>
      </c>
      <c r="D1" s="1" t="inlineStr">
        <is>
          <t>in_turbo</t>
        </is>
      </c>
      <c r="E1" s="1" t="inlineStr">
        <is>
          <t>waves_classic</t>
        </is>
      </c>
      <c r="F1" s="1" t="inlineStr">
        <is>
          <t>waves_impossible</t>
        </is>
      </c>
      <c r="G1" s="1" t="inlineStr">
        <is>
          <t>map_definition</t>
        </is>
      </c>
      <c r="H1" s="1" t="inlineStr">
        <is>
          <t>derived_evidence</t>
        </is>
      </c>
      <c r="I1" s="1" t="inlineStr">
        <is>
          <t>evidence_basis</t>
        </is>
      </c>
      <c r="J1" s="1" t="inlineStr">
        <is>
          <t>always_co_occurs_with</t>
        </is>
      </c>
      <c r="K1" s="1" t="inlineStr">
        <is>
          <t>notes</t>
        </is>
      </c>
    </row>
    <row r="2">
      <c r="A2" t="inlineStr">
        <is>
          <t>Accelerate</t>
        </is>
      </c>
      <c r="B2" t="inlineStr">
        <is>
          <t>yes</t>
        </is>
      </c>
      <c r="C2" t="inlineStr">
        <is>
          <t>yes</t>
        </is>
      </c>
      <c r="D2" t="inlineStr">
        <is>
          <t>yes</t>
        </is>
      </c>
      <c r="E2" t="n">
        <v>11</v>
      </c>
      <c r="F2" t="n">
        <v>11</v>
      </c>
      <c r="H2" t="inlineStr">
        <is>
          <t>armour mostly medium (2/2); speed 0.89x median</t>
        </is>
      </c>
      <c r="I2" t="inlineStr">
        <is>
          <t>classic waves 11</t>
        </is>
      </c>
      <c r="J2" t="inlineStr">
        <is>
          <t>Implode</t>
        </is>
      </c>
      <c r="K2" t="inlineStr">
        <is>
          <t>the map never defines this label — evidence is MEASURED from the waves carrying it, not authored ; never appears alone, so the evidence cannot be separated from the co-occurring labels</t>
        </is>
      </c>
    </row>
    <row r="3">
      <c r="A3" t="inlineStr">
        <is>
          <t>Air</t>
        </is>
      </c>
      <c r="B3" t="inlineStr">
        <is>
          <t>yes</t>
        </is>
      </c>
      <c r="C3" t="inlineStr">
        <is>
          <t>yes</t>
        </is>
      </c>
      <c r="D3" t="inlineStr">
        <is>
          <t>yes</t>
        </is>
      </c>
      <c r="E3" t="inlineStr">
        <is>
          <t>4 9 14 19 24 29 34 39</t>
        </is>
      </c>
      <c r="F3" t="inlineStr">
        <is>
          <t>4 9 14 19 24 29 34 39</t>
        </is>
      </c>
      <c r="H3" t="inlineStr">
        <is>
          <t>14/16 units fly; armour mostly small (15/16); ability Assk x2; ability A013 (zz Immolation Graphics) x1</t>
        </is>
      </c>
      <c r="I3" t="inlineStr">
        <is>
          <t>classic waves 4 9 14 19 24 29 34 39</t>
        </is>
      </c>
      <c r="K3" t="inlineStr">
        <is>
          <t>the map never defines this label — evidence is MEASURED from the waves carrying it, not authored</t>
        </is>
      </c>
    </row>
    <row r="4">
      <c r="A4" t="inlineStr">
        <is>
          <t>Area Heal Boss</t>
        </is>
      </c>
      <c r="B4" t="inlineStr">
        <is>
          <t>yes</t>
        </is>
      </c>
      <c r="D4" t="inlineStr">
        <is>
          <t>yes</t>
        </is>
      </c>
      <c r="E4" t="n">
        <v>20</v>
      </c>
      <c r="H4" t="inlineStr">
        <is>
          <t>armour mostly hero (2/2)</t>
        </is>
      </c>
      <c r="I4" t="inlineStr">
        <is>
          <t>classic waves 20</t>
        </is>
      </c>
      <c r="K4" t="inlineStr">
        <is>
          <t>the map never defines this label — evidence is MEASURED from the waves carrying it, not authored</t>
        </is>
      </c>
    </row>
    <row r="5">
      <c r="A5" t="inlineStr">
        <is>
          <t>Attackers</t>
        </is>
      </c>
      <c r="B5" t="inlineStr">
        <is>
          <t>yes</t>
        </is>
      </c>
      <c r="C5" t="inlineStr">
        <is>
          <t>yes</t>
        </is>
      </c>
      <c r="D5" t="inlineStr">
        <is>
          <t>yes</t>
        </is>
      </c>
      <c r="E5" t="inlineStr">
        <is>
          <t>23 32 38</t>
        </is>
      </c>
      <c r="F5" t="inlineStr">
        <is>
          <t>11 18 23 28 32 38</t>
        </is>
      </c>
      <c r="H5" t="inlineStr">
        <is>
          <t>armour mostly fort (5/7); speed 1.11x median; ability ACrn x1; ability ACmf x1</t>
        </is>
      </c>
      <c r="I5" t="inlineStr">
        <is>
          <t>classic waves 23 32 38</t>
        </is>
      </c>
      <c r="K5" t="inlineStr">
        <is>
          <t>the map never defines this label — evidence is MEASURED from the waves carrying it, not authored</t>
        </is>
      </c>
    </row>
    <row r="6">
      <c r="A6" t="inlineStr">
        <is>
          <t>Bad Seed</t>
        </is>
      </c>
      <c r="B6" t="inlineStr">
        <is>
          <t>yes</t>
        </is>
      </c>
      <c r="C6" t="inlineStr">
        <is>
          <t>yes</t>
        </is>
      </c>
      <c r="D6" t="inlineStr">
        <is>
          <t>yes</t>
        </is>
      </c>
      <c r="E6" t="n">
        <v>36</v>
      </c>
      <c r="F6" t="n">
        <v>36</v>
      </c>
      <c r="H6" t="inlineStr">
        <is>
          <t>armour mostly medium (3/3); speed 1.27x median; HP 3.4x all-wave median; ability A02V x1; ability A013 (zz Immolation Graphics) x1</t>
        </is>
      </c>
      <c r="I6" t="inlineStr">
        <is>
          <t>classic waves 36</t>
        </is>
      </c>
      <c r="J6" t="inlineStr">
        <is>
          <t>Damage Reduction, Flame</t>
        </is>
      </c>
      <c r="K6" t="inlineStr">
        <is>
          <t>the map never defines this label — evidence is MEASURED from the waves carrying it, not authored ; never appears alone, so the evidence cannot be separated from the co-occurring labels</t>
        </is>
      </c>
    </row>
    <row r="7">
      <c r="A7" t="inlineStr">
        <is>
          <t>Beyond Oversoul</t>
        </is>
      </c>
      <c r="C7" t="inlineStr">
        <is>
          <t>yes</t>
        </is>
      </c>
      <c r="F7" t="inlineStr">
        <is>
          <t>33 39</t>
        </is>
      </c>
      <c r="H7" t="inlineStr">
        <is>
          <t>2/4 units fly; armour mostly fort (3/4); speed 1.37x median; gold bounty 2.39x neighbouring waves; HP 6.3x all-wave median; ability Assk x2; ability Aap4 x1</t>
        </is>
      </c>
      <c r="I7" t="inlineStr">
        <is>
          <t>impossible waves 33 39</t>
        </is>
      </c>
      <c r="K7" t="inlineStr">
        <is>
          <t>the map never defines this label — evidence is MEASURED from the waves carrying it, not authored</t>
        </is>
      </c>
    </row>
    <row r="8">
      <c r="A8" t="inlineStr">
        <is>
          <t>Big Bad Voodoo Boss</t>
        </is>
      </c>
      <c r="C8" t="inlineStr">
        <is>
          <t>yes</t>
        </is>
      </c>
      <c r="F8" t="n">
        <v>35</v>
      </c>
      <c r="H8" t="inlineStr">
        <is>
          <t>armour mostly hero (2/2); speed 0.91x median; HP 2.9x all-wave median</t>
        </is>
      </c>
      <c r="I8" t="inlineStr">
        <is>
          <t>impossible waves 35</t>
        </is>
      </c>
      <c r="J8" t="inlineStr">
        <is>
          <t>Regeneration</t>
        </is>
      </c>
      <c r="K8" t="inlineStr">
        <is>
          <t>the map never defines this label — evidence is MEASURED from the waves carrying it, not authored ; never appears alone, so the evidence cannot be separated from the co-occurring labels</t>
        </is>
      </c>
    </row>
    <row r="9">
      <c r="A9" t="inlineStr">
        <is>
          <t>Blink</t>
        </is>
      </c>
      <c r="B9" t="inlineStr">
        <is>
          <t>yes</t>
        </is>
      </c>
      <c r="C9" t="inlineStr">
        <is>
          <t>yes</t>
        </is>
      </c>
      <c r="D9" t="inlineStr">
        <is>
          <t>yes</t>
        </is>
      </c>
      <c r="E9" t="n">
        <v>37</v>
      </c>
      <c r="F9" t="n">
        <v>37</v>
      </c>
      <c r="H9" t="inlineStr">
        <is>
          <t>armour mostly large (2/2); speed 1.23x median; HP 4.0x all-wave median; ability ACrk x1</t>
        </is>
      </c>
      <c r="I9" t="inlineStr">
        <is>
          <t>classic waves 37</t>
        </is>
      </c>
      <c r="K9" t="inlineStr">
        <is>
          <t>the map never defines this label — evidence is MEASURED from the waves carrying it, not authored</t>
        </is>
      </c>
    </row>
    <row r="10">
      <c r="A10" t="inlineStr">
        <is>
          <t>Blood Bound</t>
        </is>
      </c>
      <c r="C10" t="inlineStr">
        <is>
          <t>yes</t>
        </is>
      </c>
      <c r="F10" t="n">
        <v>30</v>
      </c>
      <c r="H10" t="inlineStr">
        <is>
          <t>armour mostly hero (2/2); speed 0.92x median; HP 1.6x all-wave median</t>
        </is>
      </c>
      <c r="I10" t="inlineStr">
        <is>
          <t>impossible waves 30</t>
        </is>
      </c>
      <c r="J10" t="inlineStr">
        <is>
          <t>Stun Boss</t>
        </is>
      </c>
      <c r="K10" t="inlineStr">
        <is>
          <t>the map never defines this label — evidence is MEASURED from the waves carrying it, not authored ; never appears alone, so the evidence cannot be separated from the co-occurring labels</t>
        </is>
      </c>
    </row>
    <row r="11">
      <c r="A11" t="inlineStr">
        <is>
          <t>Bonus</t>
        </is>
      </c>
      <c r="B11" t="inlineStr">
        <is>
          <t>yes</t>
        </is>
      </c>
      <c r="C11" t="inlineStr">
        <is>
          <t>yes</t>
        </is>
      </c>
      <c r="D11" t="inlineStr">
        <is>
          <t>yes</t>
        </is>
      </c>
      <c r="E11" t="inlineStr">
        <is>
          <t>14 24</t>
        </is>
      </c>
      <c r="F11" t="inlineStr">
        <is>
          <t>14 24</t>
        </is>
      </c>
      <c r="H11" t="inlineStr">
        <is>
          <t>2/4 units fly; armour mostly small (4/4); gold bounty 1.88x neighbouring waves</t>
        </is>
      </c>
      <c r="I11" t="inlineStr">
        <is>
          <t>classic waves 14 24</t>
        </is>
      </c>
      <c r="J11" t="inlineStr">
        <is>
          <t>Air, Mechanical, Shedder</t>
        </is>
      </c>
      <c r="K11" t="inlineStr">
        <is>
          <t>the map never defines this label — evidence is MEASURED from the waves carrying it, not authored ; never appears alone, so the evidence cannot be separated from the co-occurring labels</t>
        </is>
      </c>
    </row>
    <row r="12">
      <c r="A12" t="inlineStr">
        <is>
          <t>Brilliance Boss</t>
        </is>
      </c>
      <c r="C12" t="inlineStr">
        <is>
          <t>yes</t>
        </is>
      </c>
      <c r="F12" t="n">
        <v>15</v>
      </c>
      <c r="H12" t="inlineStr">
        <is>
          <t>armour mostly hero (2/2); ability Apsh x2; ability ACmf x1</t>
        </is>
      </c>
      <c r="I12" t="inlineStr">
        <is>
          <t>impossible waves 15</t>
        </is>
      </c>
      <c r="J12" t="inlineStr">
        <is>
          <t>Mana Shield, Phase Shift</t>
        </is>
      </c>
      <c r="K12" t="inlineStr">
        <is>
          <t>the map never defines this label — evidence is MEASURED from the waves carrying it, not authored ; never appears alone, so the evidence cannot be separated from the co-occurring labels</t>
        </is>
      </c>
    </row>
    <row r="13">
      <c r="A13" t="inlineStr">
        <is>
          <t>Burst Boss</t>
        </is>
      </c>
      <c r="B13" t="inlineStr">
        <is>
          <t>yes</t>
        </is>
      </c>
      <c r="D13" t="inlineStr">
        <is>
          <t>yes</t>
        </is>
      </c>
      <c r="E13" t="n">
        <v>15</v>
      </c>
      <c r="H13" t="inlineStr">
        <is>
          <t>armour mostly hero (2/2); ability Apsh x2; ability ACmf x1</t>
        </is>
      </c>
      <c r="I13" t="inlineStr">
        <is>
          <t>classic waves 15</t>
        </is>
      </c>
      <c r="J13" t="inlineStr">
        <is>
          <t>Phase Shift</t>
        </is>
      </c>
      <c r="K13" t="inlineStr">
        <is>
          <t>the map never defines this label — evidence is MEASURED from the waves carrying it, not authored ; never appears alone, so the evidence cannot be separated from the co-occurring labels</t>
        </is>
      </c>
    </row>
    <row r="14">
      <c r="A14" t="inlineStr">
        <is>
          <t>Damage Reduction</t>
        </is>
      </c>
      <c r="B14" t="inlineStr">
        <is>
          <t>yes</t>
        </is>
      </c>
      <c r="C14" t="inlineStr">
        <is>
          <t>yes</t>
        </is>
      </c>
      <c r="D14" t="inlineStr">
        <is>
          <t>yes</t>
        </is>
      </c>
      <c r="E14" t="inlineStr">
        <is>
          <t>36 39</t>
        </is>
      </c>
      <c r="F14" t="inlineStr">
        <is>
          <t>1 12 25 36 39</t>
        </is>
      </c>
      <c r="H14" t="inlineStr">
        <is>
          <t>2/5 units fly; armour mostly medium (3/5); speed 1.24x median; gold bounty 1.59x neighbouring waves; HP 4.0x all-wave median; ability Assk x3; ability A02V x1</t>
        </is>
      </c>
      <c r="I14" t="inlineStr">
        <is>
          <t>classic waves 36 39</t>
        </is>
      </c>
      <c r="K14" t="inlineStr">
        <is>
          <t>the map never defines this label — evidence is MEASURED from the waves carrying it, not authored</t>
        </is>
      </c>
    </row>
    <row r="15">
      <c r="A15" t="inlineStr">
        <is>
          <t>Death's Rage</t>
        </is>
      </c>
      <c r="B15" t="inlineStr">
        <is>
          <t>yes</t>
        </is>
      </c>
      <c r="C15" t="inlineStr">
        <is>
          <t>yes</t>
        </is>
      </c>
      <c r="D15" t="inlineStr">
        <is>
          <t>yes</t>
        </is>
      </c>
      <c r="E15" t="inlineStr">
        <is>
          <t>6 27</t>
        </is>
      </c>
      <c r="F15" t="inlineStr">
        <is>
          <t>6 9</t>
        </is>
      </c>
      <c r="I15" t="inlineStr">
        <is>
          <t>classic waves 6 27</t>
        </is>
      </c>
      <c r="K15" t="inlineStr">
        <is>
          <t>the map never defines this label — evidence is MEASURED from the waves carrying it, not authored</t>
        </is>
      </c>
    </row>
    <row r="16">
      <c r="A16" t="inlineStr">
        <is>
          <t>Degeneration</t>
        </is>
      </c>
      <c r="C16" t="inlineStr">
        <is>
          <t>yes</t>
        </is>
      </c>
      <c r="F16" t="n">
        <v>42</v>
      </c>
      <c r="H16" t="inlineStr">
        <is>
          <t>armour mostly large (2/2); gold bounty 2.50x neighbouring waves; HP 10.5x all-wave median; ability A013 (zz Immolation Graphics) x2</t>
        </is>
      </c>
      <c r="I16" t="inlineStr">
        <is>
          <t>impossible waves 42</t>
        </is>
      </c>
      <c r="J16" t="inlineStr">
        <is>
          <t>Flame, Horde, Implode</t>
        </is>
      </c>
      <c r="K16" t="inlineStr">
        <is>
          <t>the map never defines this label — evidence is MEASURED from the waves carrying it, not authored ; never appears alone, so the evidence cannot be separated from the co-occurring labels</t>
        </is>
      </c>
    </row>
    <row r="17">
      <c r="A17" t="inlineStr">
        <is>
          <t>Demoralizing Boss</t>
        </is>
      </c>
      <c r="B17" t="inlineStr">
        <is>
          <t>yes</t>
        </is>
      </c>
      <c r="C17" t="inlineStr">
        <is>
          <t>yes</t>
        </is>
      </c>
      <c r="D17" t="inlineStr">
        <is>
          <t>yes</t>
        </is>
      </c>
      <c r="E17" t="n">
        <v>40</v>
      </c>
      <c r="F17" t="n">
        <v>40</v>
      </c>
      <c r="H17" t="inlineStr">
        <is>
          <t>armour mostly hero (2/2); gold bounty 0.80x neighbouring waves; HP 8.0x all-wave median; ability A013 (zz Immolation Graphics) x2</t>
        </is>
      </c>
      <c r="I17" t="inlineStr">
        <is>
          <t>classic waves 40</t>
        </is>
      </c>
      <c r="J17" t="inlineStr">
        <is>
          <t>Flame</t>
        </is>
      </c>
      <c r="K17" t="inlineStr">
        <is>
          <t>the map never defines this label — evidence is MEASURED from the waves carrying it, not authored ; never appears alone, so the evidence cannot be separated from the co-occurring labels</t>
        </is>
      </c>
    </row>
    <row r="18">
      <c r="A18" t="inlineStr">
        <is>
          <t>Divine Shield Boss</t>
        </is>
      </c>
      <c r="B18" t="inlineStr">
        <is>
          <t>yes</t>
        </is>
      </c>
      <c r="C18" t="inlineStr">
        <is>
          <t>yes</t>
        </is>
      </c>
      <c r="D18" t="inlineStr">
        <is>
          <t>yes</t>
        </is>
      </c>
      <c r="E18" t="n">
        <v>10</v>
      </c>
      <c r="F18" t="n">
        <v>10</v>
      </c>
      <c r="H18" t="inlineStr">
        <is>
          <t>armour mostly hero (2/2); speed 0.89x median; gold bounty 1.33x neighbouring waves; ability SCae (Mighty Aura) x1</t>
        </is>
      </c>
      <c r="I18" t="inlineStr">
        <is>
          <t>classic waves 10</t>
        </is>
      </c>
      <c r="K18" t="inlineStr">
        <is>
          <t>the map never defines this label — evidence is MEASURED from the waves carrying it, not authored</t>
        </is>
      </c>
    </row>
    <row r="19">
      <c r="A19" t="inlineStr">
        <is>
          <t>Duel Aura Boss</t>
        </is>
      </c>
      <c r="B19" t="inlineStr">
        <is>
          <t>yes</t>
        </is>
      </c>
      <c r="D19" t="inlineStr">
        <is>
          <t>yes</t>
        </is>
      </c>
      <c r="E19" t="n">
        <v>35</v>
      </c>
      <c r="H19" t="inlineStr">
        <is>
          <t>armour mostly hero (2/2); speed 0.91x median; HP 2.9x all-wave median</t>
        </is>
      </c>
      <c r="I19" t="inlineStr">
        <is>
          <t>classic waves 35</t>
        </is>
      </c>
      <c r="J19" t="inlineStr">
        <is>
          <t>Regeneration</t>
        </is>
      </c>
      <c r="K19" t="inlineStr">
        <is>
          <t>the map never defines this label — evidence is MEASURED from the waves carrying it, not authored ; never appears alone, so the evidence cannot be separated from the co-occurring labels</t>
        </is>
      </c>
    </row>
    <row r="20">
      <c r="A20" t="inlineStr">
        <is>
          <t>Evasion</t>
        </is>
      </c>
      <c r="C20" t="inlineStr">
        <is>
          <t>yes</t>
        </is>
      </c>
      <c r="F20" t="inlineStr">
        <is>
          <t>2 4 25</t>
        </is>
      </c>
      <c r="H20" t="inlineStr">
        <is>
          <t>2/7 units fly; speed 0.92x median; ability ACev x3; ability Aap4 x1</t>
        </is>
      </c>
      <c r="I20" t="inlineStr">
        <is>
          <t>impossible waves 2 4 25</t>
        </is>
      </c>
      <c r="K20" t="inlineStr">
        <is>
          <t>the map never defines this label — evidence is MEASURED from the waves carrying it, not authored</t>
        </is>
      </c>
    </row>
    <row r="21">
      <c r="A21" t="inlineStr">
        <is>
          <t>Extra Fast</t>
        </is>
      </c>
      <c r="B21" t="inlineStr">
        <is>
          <t>yes</t>
        </is>
      </c>
      <c r="C21" t="inlineStr">
        <is>
          <t>yes</t>
        </is>
      </c>
      <c r="D21" t="inlineStr">
        <is>
          <t>yes</t>
        </is>
      </c>
      <c r="E21" t="n">
        <v>22</v>
      </c>
      <c r="F21" t="inlineStr">
        <is>
          <t>8 22</t>
        </is>
      </c>
      <c r="H21" t="inlineStr">
        <is>
          <t>armour mostly large (2/2); speed 1.19x median; gold bounty 0.44x neighbouring waves</t>
        </is>
      </c>
      <c r="I21" t="inlineStr">
        <is>
          <t>classic waves 22</t>
        </is>
      </c>
      <c r="K21" t="inlineStr">
        <is>
          <t>the map never defines this label — evidence is MEASURED from the waves carrying it, not authored</t>
        </is>
      </c>
    </row>
    <row r="22">
      <c r="A22" t="inlineStr">
        <is>
          <t>Final Gift</t>
        </is>
      </c>
      <c r="C22" t="inlineStr">
        <is>
          <t>yes</t>
        </is>
      </c>
      <c r="F22" t="n">
        <v>29</v>
      </c>
      <c r="H22" t="inlineStr">
        <is>
          <t>2/2 units fly; armour mostly small (2/2); speed 1.08x median; ability Aegr (Thick Hide) x1</t>
        </is>
      </c>
      <c r="I22" t="inlineStr">
        <is>
          <t>impossible waves 29</t>
        </is>
      </c>
      <c r="J22" t="inlineStr">
        <is>
          <t>Air, Thick Hide</t>
        </is>
      </c>
      <c r="K22" t="inlineStr">
        <is>
          <t>the map never defines this label — evidence is MEASURED from the waves carrying it, not authored ; never appears alone, so the evidence cannot be separated from the co-occurring labels</t>
        </is>
      </c>
    </row>
    <row r="23">
      <c r="A23" t="inlineStr">
        <is>
          <t>Flame</t>
        </is>
      </c>
      <c r="B23" t="inlineStr">
        <is>
          <t>yes</t>
        </is>
      </c>
      <c r="C23" t="inlineStr">
        <is>
          <t>yes</t>
        </is>
      </c>
      <c r="D23" t="inlineStr">
        <is>
          <t>yes</t>
        </is>
      </c>
      <c r="E23" t="inlineStr">
        <is>
          <t>8 16 21 26 31 36 40 42</t>
        </is>
      </c>
      <c r="F23" t="inlineStr">
        <is>
          <t>4 8 13 16 21 31 36 40 42</t>
        </is>
      </c>
      <c r="H23" t="inlineStr">
        <is>
          <t>armour mostly medium (12/18); speed 1.14x median; HP 1.7x all-wave median; ability A013 (zz Immolation Graphics) x14; ability ACm2 x1</t>
        </is>
      </c>
      <c r="I23" t="inlineStr">
        <is>
          <t>classic waves 8 16 21 26 31 36 40 42</t>
        </is>
      </c>
      <c r="K23" t="inlineStr">
        <is>
          <t>the map never defines this label — evidence is MEASURED from the waves carrying it, not authored</t>
        </is>
      </c>
    </row>
    <row r="24">
      <c r="A24" t="inlineStr">
        <is>
          <t>Flame Boss</t>
        </is>
      </c>
      <c r="B24" t="inlineStr">
        <is>
          <t>yes</t>
        </is>
      </c>
      <c r="D24" t="inlineStr">
        <is>
          <t>yes</t>
        </is>
      </c>
      <c r="E24" t="n">
        <v>5</v>
      </c>
      <c r="H24" t="inlineStr">
        <is>
          <t>armour mostly hero (2/2); speed 0.92x median; ability A027 x1</t>
        </is>
      </c>
      <c r="I24" t="inlineStr">
        <is>
          <t>classic waves 5</t>
        </is>
      </c>
      <c r="K24" t="inlineStr">
        <is>
          <t>the map never defines this label — evidence is MEASURED from the waves carrying it, not authored</t>
        </is>
      </c>
    </row>
    <row r="25">
      <c r="A25" t="inlineStr">
        <is>
          <t>Flame Shedder</t>
        </is>
      </c>
      <c r="C25" t="inlineStr">
        <is>
          <t>yes</t>
        </is>
      </c>
      <c r="F25" t="n">
        <v>26</v>
      </c>
      <c r="H25" t="inlineStr">
        <is>
          <t>armour mostly medium (3/3); gold bounty 0.50x neighbouring waves; ability A013 (zz Immolation Graphics) x1; ability ACrn x1</t>
        </is>
      </c>
      <c r="I25" t="inlineStr">
        <is>
          <t>impossible waves 26</t>
        </is>
      </c>
      <c r="J25" t="inlineStr">
        <is>
          <t>Mighty Aura, Reincarnation</t>
        </is>
      </c>
      <c r="K25" t="inlineStr">
        <is>
          <t>the map never defines this label — evidence is MEASURED from the waves carrying it, not authored ; never appears alone, so the evidence cannot be separated from the co-occurring labels</t>
        </is>
      </c>
    </row>
    <row r="26">
      <c r="A26" t="inlineStr">
        <is>
          <t>Frost Armor Boss</t>
        </is>
      </c>
      <c r="B26" t="inlineStr">
        <is>
          <t>yes</t>
        </is>
      </c>
      <c r="D26" t="inlineStr">
        <is>
          <t>yes</t>
        </is>
      </c>
      <c r="E26" t="n">
        <v>25</v>
      </c>
      <c r="H26" t="inlineStr">
        <is>
          <t>armour mostly hero (3/3); gold bounty 0.75x neighbouring waves; ability A03A x1; ability ACev x1</t>
        </is>
      </c>
      <c r="I26" t="inlineStr">
        <is>
          <t>classic waves 25</t>
        </is>
      </c>
      <c r="K26" t="inlineStr">
        <is>
          <t>the map never defines this label — evidence is MEASURED from the waves carrying it, not authored</t>
        </is>
      </c>
    </row>
    <row r="27">
      <c r="A27" t="inlineStr">
        <is>
          <t>Heavily Armored</t>
        </is>
      </c>
      <c r="C27" t="inlineStr">
        <is>
          <t>yes</t>
        </is>
      </c>
      <c r="F27" t="n">
        <v>20</v>
      </c>
      <c r="H27" t="inlineStr">
        <is>
          <t>armour mostly hero (2/2)</t>
        </is>
      </c>
      <c r="I27" t="inlineStr">
        <is>
          <t>impossible waves 20</t>
        </is>
      </c>
      <c r="J27" t="inlineStr">
        <is>
          <t>Mighty Aura Boss</t>
        </is>
      </c>
      <c r="K27" t="inlineStr">
        <is>
          <t>the map never defines this label — evidence is MEASURED from the waves carrying it, not authored ; never appears alone, so the evidence cannot be separated from the co-occurring labels</t>
        </is>
      </c>
    </row>
    <row r="28">
      <c r="A28" t="inlineStr">
        <is>
          <t>Horde</t>
        </is>
      </c>
      <c r="B28" t="inlineStr">
        <is>
          <t>yes</t>
        </is>
      </c>
      <c r="C28" t="inlineStr">
        <is>
          <t>yes</t>
        </is>
      </c>
      <c r="E28" t="n">
        <v>7</v>
      </c>
      <c r="F28" t="inlineStr">
        <is>
          <t>3 42</t>
        </is>
      </c>
      <c r="H28" t="inlineStr">
        <is>
          <t>armour mostly large (2/2); speed 1.13x median; gold bounty 1.50x neighbouring waves</t>
        </is>
      </c>
      <c r="I28" t="inlineStr">
        <is>
          <t>classic waves 7</t>
        </is>
      </c>
      <c r="K28" t="inlineStr">
        <is>
          <t>the map never defines this label — evidence is MEASURED from the waves carrying it, not authored</t>
        </is>
      </c>
    </row>
    <row r="29">
      <c r="A29" t="inlineStr">
        <is>
          <t>Implode</t>
        </is>
      </c>
      <c r="B29" t="inlineStr">
        <is>
          <t>yes</t>
        </is>
      </c>
      <c r="C29" t="inlineStr">
        <is>
          <t>yes</t>
        </is>
      </c>
      <c r="D29" t="inlineStr">
        <is>
          <t>yes</t>
        </is>
      </c>
      <c r="E29" t="n">
        <v>11</v>
      </c>
      <c r="F29" t="inlineStr">
        <is>
          <t>38 42</t>
        </is>
      </c>
      <c r="H29" t="inlineStr">
        <is>
          <t>armour mostly medium (2/2); speed 0.89x median</t>
        </is>
      </c>
      <c r="I29" t="inlineStr">
        <is>
          <t>classic waves 11</t>
        </is>
      </c>
      <c r="J29" t="inlineStr">
        <is>
          <t>Accelerate</t>
        </is>
      </c>
      <c r="K29" t="inlineStr">
        <is>
          <t>the map never defines this label — evidence is MEASURED from the waves carrying it, not authored ; never appears alone, so the evidence cannot be separated from the co-occurring labels</t>
        </is>
      </c>
    </row>
    <row r="30">
      <c r="A30" t="inlineStr">
        <is>
          <t>Mana Shield</t>
        </is>
      </c>
      <c r="C30" t="inlineStr">
        <is>
          <t>yes</t>
        </is>
      </c>
      <c r="F30" t="inlineStr">
        <is>
          <t>15 32</t>
        </is>
      </c>
      <c r="H30" t="inlineStr">
        <is>
          <t>ability Apsh x2; ability ACmf x2</t>
        </is>
      </c>
      <c r="I30" t="inlineStr">
        <is>
          <t>impossible waves 15 32</t>
        </is>
      </c>
      <c r="K30" t="inlineStr">
        <is>
          <t>the map never defines this label — evidence is MEASURED from the waves carrying it, not authored</t>
        </is>
      </c>
    </row>
    <row r="31">
      <c r="A31" t="inlineStr">
        <is>
          <t>Mechanical</t>
        </is>
      </c>
      <c r="B31" t="inlineStr">
        <is>
          <t>yes</t>
        </is>
      </c>
      <c r="C31" t="inlineStr">
        <is>
          <t>yes</t>
        </is>
      </c>
      <c r="D31" t="inlineStr">
        <is>
          <t>yes</t>
        </is>
      </c>
      <c r="E31" t="inlineStr">
        <is>
          <t>3 14 24 39</t>
        </is>
      </c>
      <c r="F31" t="inlineStr">
        <is>
          <t>3 11 14 24 37</t>
        </is>
      </c>
      <c r="H31" t="inlineStr">
        <is>
          <t>4/8 units fly; armour mostly small (5/8); gold bounty 1.88x neighbouring waves; ability Assk x2</t>
        </is>
      </c>
      <c r="I31" t="inlineStr">
        <is>
          <t>classic waves 3 14 24 39</t>
        </is>
      </c>
      <c r="K31" t="inlineStr">
        <is>
          <t>the map never defines this label — evidence is MEASURED from the waves carrying it, not authored</t>
        </is>
      </c>
    </row>
    <row r="32">
      <c r="A32" t="inlineStr">
        <is>
          <t>Mechanical Heavily Armored</t>
        </is>
      </c>
      <c r="C32" t="inlineStr">
        <is>
          <t>yes</t>
        </is>
      </c>
      <c r="F32" t="n">
        <v>27</v>
      </c>
      <c r="H32" t="inlineStr">
        <is>
          <t>armour mostly large (2/2); HP 1.6x all-wave median</t>
        </is>
      </c>
      <c r="I32" t="inlineStr">
        <is>
          <t>impossible waves 27</t>
        </is>
      </c>
      <c r="K32" t="inlineStr">
        <is>
          <t>the map never defines this label — evidence is MEASURED from the waves carrying it, not authored</t>
        </is>
      </c>
    </row>
    <row r="33">
      <c r="A33" t="inlineStr">
        <is>
          <t>Mighty Aura</t>
        </is>
      </c>
      <c r="C33" t="inlineStr">
        <is>
          <t>yes</t>
        </is>
      </c>
      <c r="F33" t="inlineStr">
        <is>
          <t>10 26</t>
        </is>
      </c>
      <c r="H33" t="inlineStr">
        <is>
          <t>armour mostly medium (3/5); speed 0.89x median; ability SCae (Mighty Aura) x2; ability A013 (zz Immolation Graphics) x1</t>
        </is>
      </c>
      <c r="I33" t="inlineStr">
        <is>
          <t>impossible waves 10 26</t>
        </is>
      </c>
    </row>
    <row r="34">
      <c r="A34" t="inlineStr">
        <is>
          <t>Mighty Aura Boss</t>
        </is>
      </c>
      <c r="C34" t="inlineStr">
        <is>
          <t>yes</t>
        </is>
      </c>
      <c r="F34" t="n">
        <v>20</v>
      </c>
      <c r="H34" t="inlineStr">
        <is>
          <t>armour mostly hero (2/2)</t>
        </is>
      </c>
      <c r="I34" t="inlineStr">
        <is>
          <t>impossible waves 20</t>
        </is>
      </c>
      <c r="J34" t="inlineStr">
        <is>
          <t>Heavily Armored</t>
        </is>
      </c>
      <c r="K34" t="inlineStr">
        <is>
          <t>the map never defines this label — evidence is MEASURED from the waves carrying it, not authored ; never appears alone, so the evidence cannot be separated from the co-occurring labels</t>
        </is>
      </c>
    </row>
    <row r="35">
      <c r="A35" t="inlineStr">
        <is>
          <t>Nothing special</t>
        </is>
      </c>
      <c r="B35" t="inlineStr">
        <is>
          <t>yes</t>
        </is>
      </c>
      <c r="D35" t="inlineStr">
        <is>
          <t>yes</t>
        </is>
      </c>
      <c r="E35" t="inlineStr">
        <is>
          <t>1 2 13 17 41</t>
        </is>
      </c>
      <c r="H35" t="inlineStr">
        <is>
          <t>speed 0.89x median; ability A00G x1; ability ACev x1</t>
        </is>
      </c>
      <c r="I35" t="inlineStr">
        <is>
          <t>classic waves 1 2 13 17 41</t>
        </is>
      </c>
      <c r="K35" t="inlineStr">
        <is>
          <t>the map never defines this label — evidence is MEASURED from the waves carrying it, not authored</t>
        </is>
      </c>
    </row>
    <row r="36">
      <c r="A36" t="inlineStr">
        <is>
          <t>Once More With Feeling!!</t>
        </is>
      </c>
      <c r="C36" t="inlineStr">
        <is>
          <t>yes</t>
        </is>
      </c>
      <c r="F36" t="n">
        <v>22</v>
      </c>
      <c r="H36" t="inlineStr">
        <is>
          <t>armour mostly large (2/2); speed 1.19x median; gold bounty 0.44x neighbouring waves</t>
        </is>
      </c>
      <c r="I36" t="inlineStr">
        <is>
          <t>impossible waves 22</t>
        </is>
      </c>
      <c r="J36" t="inlineStr">
        <is>
          <t>Extra Fast</t>
        </is>
      </c>
      <c r="K36" t="inlineStr">
        <is>
          <t>the map never defines this label — evidence is MEASURED from the waves carrying it, not authored ; never appears alone, so the evidence cannot be separated from the co-occurring labels</t>
        </is>
      </c>
    </row>
    <row r="37">
      <c r="A37" t="inlineStr">
        <is>
          <t>Oversoul</t>
        </is>
      </c>
      <c r="B37" t="inlineStr">
        <is>
          <t>yes</t>
        </is>
      </c>
      <c r="C37" t="inlineStr">
        <is>
          <t>yes</t>
        </is>
      </c>
      <c r="D37" t="inlineStr">
        <is>
          <t>yes</t>
        </is>
      </c>
      <c r="E37" t="inlineStr">
        <is>
          <t>12 21 33 39</t>
        </is>
      </c>
      <c r="F37" t="inlineStr">
        <is>
          <t>7 12 21</t>
        </is>
      </c>
      <c r="H37" t="inlineStr">
        <is>
          <t>2/8 units fly; speed 1.37x median; gold bounty 2.25x neighbouring waves; HP 3.1x all-wave median; ability A013 (zz Immolation Graphics) x2; ability Assk x2</t>
        </is>
      </c>
      <c r="I37" t="inlineStr">
        <is>
          <t>classic waves 12 21 33 39</t>
        </is>
      </c>
      <c r="K37" t="inlineStr">
        <is>
          <t>the map never defines this label — evidence is MEASURED from the waves carrying it, not authored</t>
        </is>
      </c>
    </row>
    <row r="38">
      <c r="A38" t="inlineStr">
        <is>
          <t>Phase Shift</t>
        </is>
      </c>
      <c r="B38" t="inlineStr">
        <is>
          <t>yes</t>
        </is>
      </c>
      <c r="C38" t="inlineStr">
        <is>
          <t>yes</t>
        </is>
      </c>
      <c r="D38" t="inlineStr">
        <is>
          <t>yes</t>
        </is>
      </c>
      <c r="E38" t="inlineStr">
        <is>
          <t>15 18</t>
        </is>
      </c>
      <c r="F38" t="inlineStr">
        <is>
          <t>15 19</t>
        </is>
      </c>
      <c r="H38" t="inlineStr">
        <is>
          <t>speed 1.10x median; ability Apsh x3; ability ACmf x1</t>
        </is>
      </c>
      <c r="I38" t="inlineStr">
        <is>
          <t>classic waves 15 18</t>
        </is>
      </c>
      <c r="K38" t="inlineStr">
        <is>
          <t>the map never defines this label — evidence is MEASURED from the waves carrying it, not authored</t>
        </is>
      </c>
    </row>
    <row r="39">
      <c r="A39" t="inlineStr">
        <is>
          <t>Regeneration</t>
        </is>
      </c>
      <c r="B39" t="inlineStr">
        <is>
          <t>yes</t>
        </is>
      </c>
      <c r="C39" t="inlineStr">
        <is>
          <t>yes</t>
        </is>
      </c>
      <c r="D39" t="inlineStr">
        <is>
          <t>yes</t>
        </is>
      </c>
      <c r="E39" t="n">
        <v>35</v>
      </c>
      <c r="F39" t="inlineStr">
        <is>
          <t>2 6 18 35 36</t>
        </is>
      </c>
      <c r="G39" t="inlineStr">
        <is>
          <t>This tower regenerates 12 HP per second.</t>
        </is>
      </c>
      <c r="H39" t="inlineStr">
        <is>
          <t>armour mostly hero (2/2); speed 0.91x median; HP 2.9x all-wave median</t>
        </is>
      </c>
      <c r="I39" t="inlineStr">
        <is>
          <t>classic waves 35</t>
        </is>
      </c>
      <c r="J39" t="inlineStr">
        <is>
          <t>Duel Aura Boss</t>
        </is>
      </c>
    </row>
    <row r="40">
      <c r="A40" t="inlineStr">
        <is>
          <t>Reincarnation</t>
        </is>
      </c>
      <c r="B40" t="inlineStr">
        <is>
          <t>yes</t>
        </is>
      </c>
      <c r="C40" t="inlineStr">
        <is>
          <t>yes</t>
        </is>
      </c>
      <c r="D40" t="inlineStr">
        <is>
          <t>yes</t>
        </is>
      </c>
      <c r="E40" t="n">
        <v>32</v>
      </c>
      <c r="F40" t="inlineStr">
        <is>
          <t>5 26</t>
        </is>
      </c>
      <c r="G40" t="inlineStr">
        <is>
          <t>When killed, the Alchemaniac will come back to life.</t>
        </is>
      </c>
      <c r="H40" t="inlineStr">
        <is>
          <t>armour mostly large (2/2); speed 0.85x median; gold bounty 1.25x neighbouring waves; ability ACrn x1; ability ACmf x1</t>
        </is>
      </c>
      <c r="I40" t="inlineStr">
        <is>
          <t>classic waves 32</t>
        </is>
      </c>
      <c r="J40" t="inlineStr">
        <is>
          <t>Attackers</t>
        </is>
      </c>
    </row>
    <row r="41">
      <c r="A41" t="inlineStr">
        <is>
          <t>Shedder</t>
        </is>
      </c>
      <c r="B41" t="inlineStr">
        <is>
          <t>yes</t>
        </is>
      </c>
      <c r="C41" t="inlineStr">
        <is>
          <t>yes</t>
        </is>
      </c>
      <c r="D41" t="inlineStr">
        <is>
          <t>yes</t>
        </is>
      </c>
      <c r="E41" t="inlineStr">
        <is>
          <t>14 24 26</t>
        </is>
      </c>
      <c r="F41" t="inlineStr">
        <is>
          <t>14 34 38</t>
        </is>
      </c>
      <c r="H41" t="inlineStr">
        <is>
          <t>2/7 units fly; gold bounty 1.75x neighbouring waves; ability A013 (zz Immolation Graphics) x1; ability ACrn x1</t>
        </is>
      </c>
      <c r="I41" t="inlineStr">
        <is>
          <t>classic waves 14 24 26</t>
        </is>
      </c>
      <c r="K41" t="inlineStr">
        <is>
          <t>the map never defines this label — evidence is MEASURED from the waves carrying it, not authored</t>
        </is>
      </c>
    </row>
    <row r="42">
      <c r="A42" t="inlineStr">
        <is>
          <t>Shredder</t>
        </is>
      </c>
      <c r="C42" t="inlineStr">
        <is>
          <t>yes</t>
        </is>
      </c>
      <c r="F42" t="n">
        <v>24</v>
      </c>
      <c r="H42" t="inlineStr">
        <is>
          <t>1/2 units fly; armour mostly small (2/2); gold bounty 2.00x neighbouring waves</t>
        </is>
      </c>
      <c r="I42" t="inlineStr">
        <is>
          <t>impossible waves 24</t>
        </is>
      </c>
      <c r="J42" t="inlineStr">
        <is>
          <t>Air, Bonus, Mechanical</t>
        </is>
      </c>
      <c r="K42" t="inlineStr">
        <is>
          <t>the map never defines this label — evidence is MEASURED from the waves carrying it, not authored ; never appears alone, so the evidence cannot be separated from the co-occurring labels</t>
        </is>
      </c>
    </row>
    <row r="43">
      <c r="A43" t="inlineStr">
        <is>
          <t>Spell Immune</t>
        </is>
      </c>
      <c r="C43" t="inlineStr">
        <is>
          <t>yes</t>
        </is>
      </c>
      <c r="F43" t="n">
        <v>16</v>
      </c>
      <c r="H43" t="inlineStr">
        <is>
          <t>armour mostly medium (2/2); speed 0.90x median; ability A013 (zz Immolation Graphics) x2; ability ACm2 x1</t>
        </is>
      </c>
      <c r="I43" t="inlineStr">
        <is>
          <t>impossible waves 16</t>
        </is>
      </c>
      <c r="J43" t="inlineStr">
        <is>
          <t>Flame</t>
        </is>
      </c>
      <c r="K43" t="inlineStr">
        <is>
          <t>the map never defines this label — evidence is MEASURED from the waves carrying it, not authored ; never appears alone, so the evidence cannot be separated from the co-occurring labels</t>
        </is>
      </c>
    </row>
    <row r="44">
      <c r="A44" t="inlineStr">
        <is>
          <t>Spell Vulnerability</t>
        </is>
      </c>
      <c r="C44" t="inlineStr">
        <is>
          <t>yes</t>
        </is>
      </c>
      <c r="F44" t="n">
        <v>41</v>
      </c>
      <c r="H44" t="inlineStr">
        <is>
          <t>speed 1.14x median; gold bounty 0.80x neighbouring waves; HP 7.5x all-wave median</t>
        </is>
      </c>
      <c r="I44" t="inlineStr">
        <is>
          <t>impossible waves 41</t>
        </is>
      </c>
      <c r="J44" t="inlineStr">
        <is>
          <t>Unarmored</t>
        </is>
      </c>
      <c r="K44" t="inlineStr">
        <is>
          <t>the map never defines this label — evidence is MEASURED from the waves carrying it, not authored ; never appears alone, so the evidence cannot be separated from the co-occurring labels</t>
        </is>
      </c>
    </row>
    <row r="45">
      <c r="A45" t="inlineStr">
        <is>
          <t>Stun Boss</t>
        </is>
      </c>
      <c r="B45" t="inlineStr">
        <is>
          <t>yes</t>
        </is>
      </c>
      <c r="C45" t="inlineStr">
        <is>
          <t>yes</t>
        </is>
      </c>
      <c r="D45" t="inlineStr">
        <is>
          <t>yes</t>
        </is>
      </c>
      <c r="E45" t="n">
        <v>30</v>
      </c>
      <c r="F45" t="n">
        <v>30</v>
      </c>
      <c r="H45" t="inlineStr">
        <is>
          <t>armour mostly hero (2/2); speed 0.92x median; HP 1.6x all-wave median</t>
        </is>
      </c>
      <c r="I45" t="inlineStr">
        <is>
          <t>classic waves 30</t>
        </is>
      </c>
      <c r="K45" t="inlineStr">
        <is>
          <t>the map never defines this label — evidence is MEASURED from the waves carrying it, not authored</t>
        </is>
      </c>
    </row>
    <row r="46">
      <c r="A46" t="inlineStr">
        <is>
          <t>Tanker</t>
        </is>
      </c>
      <c r="C46" t="inlineStr">
        <is>
          <t>yes</t>
        </is>
      </c>
      <c r="F46" t="inlineStr">
        <is>
          <t>9 13 17 32 40</t>
        </is>
      </c>
      <c r="H46" t="inlineStr">
        <is>
          <t>2/10 units fly; speed 0.80x median; gold bounty 0.80x neighbouring waves; ability A013 (zz Immolation Graphics) x3; ability ACrn x1</t>
        </is>
      </c>
      <c r="I46" t="inlineStr">
        <is>
          <t>impossible waves 9 13 17 32 40</t>
        </is>
      </c>
      <c r="K46" t="inlineStr">
        <is>
          <t>the map never defines this label — evidence is MEASURED from the waves carrying it, not authored</t>
        </is>
      </c>
    </row>
    <row r="47">
      <c r="A47" t="inlineStr">
        <is>
          <t>Taunting Mechanical Boss</t>
        </is>
      </c>
      <c r="C47" t="inlineStr">
        <is>
          <t>yes</t>
        </is>
      </c>
      <c r="F47" t="n">
        <v>25</v>
      </c>
      <c r="H47" t="inlineStr">
        <is>
          <t>armour mostly hero (3/3); gold bounty 0.75x neighbouring waves; ability A03A x1; ability ACev x1</t>
        </is>
      </c>
      <c r="I47" t="inlineStr">
        <is>
          <t>impossible waves 25</t>
        </is>
      </c>
      <c r="J47" t="inlineStr">
        <is>
          <t>Damage Reduction, Evasion</t>
        </is>
      </c>
      <c r="K47" t="inlineStr">
        <is>
          <t>the map never defines this label — evidence is MEASURED from the waves carrying it, not authored ; never appears alone, so the evidence cannot be separated from the co-occurring labels</t>
        </is>
      </c>
    </row>
    <row r="48">
      <c r="A48" t="inlineStr">
        <is>
          <t>Thick Hide</t>
        </is>
      </c>
      <c r="C48" t="inlineStr">
        <is>
          <t>yes</t>
        </is>
      </c>
      <c r="F48" t="inlineStr">
        <is>
          <t>29 36</t>
        </is>
      </c>
      <c r="H48" t="inlineStr">
        <is>
          <t>2/5 units fly; armour mostly medium (3/5); speed 1.21x median; ability Aegr (Thick Hide) x2; ability A02V x1</t>
        </is>
      </c>
      <c r="I48" t="inlineStr">
        <is>
          <t>impossible waves 29 36</t>
        </is>
      </c>
    </row>
    <row r="49">
      <c r="A49" t="inlineStr">
        <is>
          <t>Turtle Boss</t>
        </is>
      </c>
      <c r="C49" t="inlineStr">
        <is>
          <t>yes</t>
        </is>
      </c>
      <c r="F49" t="n">
        <v>5</v>
      </c>
      <c r="H49" t="inlineStr">
        <is>
          <t>armour mostly hero (2/2); speed 0.92x median; ability A027 x1</t>
        </is>
      </c>
      <c r="I49" t="inlineStr">
        <is>
          <t>impossible waves 5</t>
        </is>
      </c>
      <c r="J49" t="inlineStr">
        <is>
          <t>Reincarnation</t>
        </is>
      </c>
      <c r="K49" t="inlineStr">
        <is>
          <t>the map never defines this label — evidence is MEASURED from the waves carrying it, not authored ; never appears alone, so the evidence cannot be separated from the co-occurring labels</t>
        </is>
      </c>
    </row>
    <row r="50">
      <c r="A50" t="inlineStr">
        <is>
          <t>Unarmored</t>
        </is>
      </c>
      <c r="C50" t="inlineStr">
        <is>
          <t>yes</t>
        </is>
      </c>
      <c r="F50" t="n">
        <v>41</v>
      </c>
      <c r="H50" t="inlineStr">
        <is>
          <t>speed 1.14x median; gold bounty 0.80x neighbouring waves; HP 7.5x all-wave median</t>
        </is>
      </c>
      <c r="I50" t="inlineStr">
        <is>
          <t>impossible waves 41</t>
        </is>
      </c>
      <c r="J50" t="inlineStr">
        <is>
          <t>Spell Vulnerability</t>
        </is>
      </c>
      <c r="K50" t="inlineStr">
        <is>
          <t>the map never defines this label — evidence is MEASURED from the waves carrying it, not authored ; never appears alone, so the evidence cannot be separated from the co-occurring labels</t>
        </is>
      </c>
    </row>
    <row r="51">
      <c r="A51" t="inlineStr">
        <is>
          <t>Valor of the Dead</t>
        </is>
      </c>
      <c r="B51" t="inlineStr">
        <is>
          <t>yes</t>
        </is>
      </c>
      <c r="C51" t="inlineStr">
        <is>
          <t>yes</t>
        </is>
      </c>
      <c r="D51" t="inlineStr">
        <is>
          <t>yes</t>
        </is>
      </c>
      <c r="E51" t="n">
        <v>28</v>
      </c>
      <c r="F51" t="inlineStr">
        <is>
          <t>28 37</t>
        </is>
      </c>
      <c r="H51" t="inlineStr">
        <is>
          <t>armour mostly fort (2/2); HP 1.7x all-wave median; ability ACev x1</t>
        </is>
      </c>
      <c r="I51" t="inlineStr">
        <is>
          <t>classic waves 28</t>
        </is>
      </c>
      <c r="K51" t="inlineStr">
        <is>
          <t>the map never defines this label — evidence is MEASURED from the waves carrying it, not authored</t>
        </is>
      </c>
    </row>
  </sheetData>
  <autoFilter ref="A1:K5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9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23" customWidth="1" min="3" max="3"/>
    <col width="9" customWidth="1" min="4" max="4"/>
    <col width="14" customWidth="1" min="5" max="5"/>
    <col width="13" customWidth="1" min="6" max="6"/>
    <col width="11" customWidth="1" min="7" max="7"/>
    <col width="9" customWidth="1" min="8" max="8"/>
    <col width="18" customWidth="1" min="9" max="9"/>
    <col width="13" customWidth="1" min="10" max="10"/>
    <col width="14" customWidth="1" min="11" max="11"/>
    <col width="13" customWidth="1" min="12" max="12"/>
    <col width="10" customWidth="1" min="13" max="13"/>
    <col width="11" customWidth="1" min="14" max="14"/>
    <col width="16" customWidth="1" min="15" max="15"/>
    <col width="9" customWidth="1" min="16" max="16"/>
    <col width="48" customWidth="1" min="17" max="17"/>
    <col width="48" customWidth="1" min="18" max="18"/>
  </cols>
  <sheetData>
    <row r="1">
      <c r="A1" s="1" t="inlineStr">
        <is>
          <t>wave</t>
        </is>
      </c>
      <c r="B1" s="1" t="inlineStr">
        <is>
          <t>slot</t>
        </is>
      </c>
      <c r="C1" s="1" t="inlineStr">
        <is>
          <t>creature</t>
        </is>
      </c>
      <c r="D1" s="1" t="inlineStr">
        <is>
          <t>hp</t>
        </is>
      </c>
      <c r="E1" s="1" t="inlineStr">
        <is>
          <t>armour_value</t>
        </is>
      </c>
      <c r="F1" s="1" t="inlineStr">
        <is>
          <t>armour_type</t>
        </is>
      </c>
      <c r="G1" s="1" t="inlineStr">
        <is>
          <t>move_type</t>
        </is>
      </c>
      <c r="H1" s="1" t="inlineStr">
        <is>
          <t>speed</t>
        </is>
      </c>
      <c r="I1" s="1" t="inlineStr">
        <is>
          <t>gold_bounty_base</t>
        </is>
      </c>
      <c r="J1" s="1" t="inlineStr">
        <is>
          <t>bounty_dice</t>
        </is>
      </c>
      <c r="K1" s="1" t="inlineStr">
        <is>
          <t>bounty_sides</t>
        </is>
      </c>
      <c r="L1" s="1" t="inlineStr">
        <is>
          <t>attack_type</t>
        </is>
      </c>
      <c r="M1" s="1" t="inlineStr">
        <is>
          <t>atk_base</t>
        </is>
      </c>
      <c r="N1" s="1" t="inlineStr">
        <is>
          <t>atk_range</t>
        </is>
      </c>
      <c r="O1" s="1" t="inlineStr">
        <is>
          <t>abilities</t>
        </is>
      </c>
      <c r="P1" s="1" t="inlineStr">
        <is>
          <t>unit_id</t>
        </is>
      </c>
      <c r="Q1" s="1" t="inlineStr">
        <is>
          <t>model</t>
        </is>
      </c>
      <c r="R1" s="1" t="inlineStr">
        <is>
          <t>obs_notes</t>
        </is>
      </c>
    </row>
    <row r="2">
      <c r="A2" t="n">
        <v>1</v>
      </c>
      <c r="B2" t="inlineStr">
        <is>
          <t>main</t>
        </is>
      </c>
      <c r="C2" t="inlineStr">
        <is>
          <t>Lesser Demon Spawn</t>
        </is>
      </c>
      <c r="D2" t="n">
        <v>55</v>
      </c>
      <c r="F2" t="inlineStr">
        <is>
          <t>medium</t>
        </is>
      </c>
      <c r="H2" t="n">
        <v>315</v>
      </c>
      <c r="I2" t="n">
        <v>1</v>
      </c>
      <c r="J2" t="n">
        <v>0</v>
      </c>
      <c r="K2" t="n">
        <v>0</v>
      </c>
      <c r="L2" t="inlineStr">
        <is>
          <t>siege</t>
        </is>
      </c>
      <c r="M2" t="n">
        <v>499</v>
      </c>
      <c r="N2" t="n">
        <v>100</v>
      </c>
      <c r="P2" t="inlineStr">
        <is>
          <t>e00Y</t>
        </is>
      </c>
      <c r="Q2" t="inlineStr">
        <is>
          <t>units\creeps\Satyr\Satyr.mdl</t>
        </is>
      </c>
      <c r="R2" t="inlineStr">
        <is>
          <t>Armour type confirmed across TWO runs (tempest hawk + royal family). HP carries the ~0.46 wave-1 softening.</t>
        </is>
      </c>
    </row>
    <row r="3">
      <c r="A3" t="n">
        <v>1</v>
      </c>
      <c r="B3" t="inlineStr">
        <is>
          <t>a</t>
        </is>
      </c>
      <c r="C3" t="inlineStr">
        <is>
          <t>Greater Demon Spawn</t>
        </is>
      </c>
      <c r="D3" t="n">
        <v>61</v>
      </c>
      <c r="F3" t="inlineStr">
        <is>
          <t>medium</t>
        </is>
      </c>
      <c r="H3" t="n">
        <v>345</v>
      </c>
      <c r="I3" t="n">
        <v>1</v>
      </c>
      <c r="J3" t="n">
        <v>0</v>
      </c>
      <c r="K3" t="n">
        <v>0</v>
      </c>
      <c r="L3" t="inlineStr">
        <is>
          <t>siege</t>
        </is>
      </c>
      <c r="M3" t="n">
        <v>499</v>
      </c>
      <c r="N3" t="n">
        <v>100</v>
      </c>
      <c r="O3" t="inlineStr">
        <is>
          <t>A00G</t>
        </is>
      </c>
      <c r="P3" t="inlineStr">
        <is>
          <t>e01Y</t>
        </is>
      </c>
      <c r="Q3" t="inlineStr">
        <is>
          <t>units\creeps\satyrhellcaller\satyrhellcaller.mdl</t>
        </is>
      </c>
      <c r="R3" t="inlineStr">
        <is>
          <t>Armour type confirmed across TWO runs (tempest hawk + royal family). HP carries the ~0.46 wave-1 softening.</t>
        </is>
      </c>
    </row>
    <row r="4">
      <c r="A4" t="n">
        <v>2</v>
      </c>
      <c r="B4" t="inlineStr">
        <is>
          <t>main</t>
        </is>
      </c>
      <c r="C4" t="inlineStr">
        <is>
          <t>Diseased Bear</t>
        </is>
      </c>
      <c r="D4" t="n">
        <v>155</v>
      </c>
      <c r="F4" t="inlineStr">
        <is>
          <t>large</t>
        </is>
      </c>
      <c r="H4" t="n">
        <v>315</v>
      </c>
      <c r="I4" t="n">
        <v>1</v>
      </c>
      <c r="J4" t="n">
        <v>0</v>
      </c>
      <c r="K4" t="n">
        <v>0</v>
      </c>
      <c r="L4" t="inlineStr">
        <is>
          <t>siege</t>
        </is>
      </c>
      <c r="M4" t="n">
        <v>499</v>
      </c>
      <c r="N4" t="n">
        <v>100</v>
      </c>
      <c r="P4" t="inlineStr">
        <is>
          <t>e000</t>
        </is>
      </c>
      <c r="Q4" t="inlineStr">
        <is>
          <t>units\creeps\PolarBear\PolarBear.mdl</t>
        </is>
      </c>
      <c r="R4" t="inlineStr">
        <is>
          <t>TYPE WITHOUT VALUE - pesada at armour 0. Proves type and value are orthogonal. Confirmed across two runs.</t>
        </is>
      </c>
    </row>
    <row r="5">
      <c r="A5" t="n">
        <v>2</v>
      </c>
      <c r="B5" t="inlineStr">
        <is>
          <t>a</t>
        </is>
      </c>
      <c r="C5" t="inlineStr">
        <is>
          <t>Pus-Filled Skink</t>
        </is>
      </c>
      <c r="D5" t="n">
        <v>171</v>
      </c>
      <c r="E5" t="n">
        <v>1</v>
      </c>
      <c r="F5" t="inlineStr">
        <is>
          <t>large</t>
        </is>
      </c>
      <c r="I5" t="n">
        <v>1</v>
      </c>
      <c r="J5" t="n">
        <v>0</v>
      </c>
      <c r="K5" t="n">
        <v>0</v>
      </c>
      <c r="L5" t="inlineStr">
        <is>
          <t>siege</t>
        </is>
      </c>
      <c r="M5" t="n">
        <v>499</v>
      </c>
      <c r="N5" t="n">
        <v>100</v>
      </c>
      <c r="O5" t="inlineStr">
        <is>
          <t>ACev,Aap4</t>
        </is>
      </c>
      <c r="P5" t="inlineStr">
        <is>
          <t>e01Z</t>
        </is>
      </c>
      <c r="Q5" t="inlineStr">
        <is>
          <t>units\critters\Skink\Skink.mdl</t>
        </is>
      </c>
      <c r="R5" t="inlineStr">
        <is>
          <t>TYPE WITHOUT VALUE - pesada at armour 0. Proves type and value are orthogonal. Confirmed across two runs.</t>
        </is>
      </c>
    </row>
    <row r="6">
      <c r="A6" t="n">
        <v>3</v>
      </c>
      <c r="B6" t="inlineStr">
        <is>
          <t>main</t>
        </is>
      </c>
      <c r="C6" t="inlineStr">
        <is>
          <t>Siege Machine</t>
        </is>
      </c>
      <c r="D6" t="n">
        <v>235</v>
      </c>
      <c r="E6" t="n">
        <v>1</v>
      </c>
      <c r="F6" t="inlineStr">
        <is>
          <t>fort</t>
        </is>
      </c>
      <c r="H6" t="n">
        <v>315</v>
      </c>
      <c r="I6" t="n">
        <v>1</v>
      </c>
      <c r="J6" t="n">
        <v>0</v>
      </c>
      <c r="K6" t="n">
        <v>0</v>
      </c>
      <c r="L6" t="inlineStr">
        <is>
          <t>siege</t>
        </is>
      </c>
      <c r="M6" t="n">
        <v>499</v>
      </c>
      <c r="N6" t="n">
        <v>100</v>
      </c>
      <c r="P6" t="inlineStr">
        <is>
          <t>e002</t>
        </is>
      </c>
      <c r="Q6" t="inlineStr">
        <is>
          <t>units\undead\MeatWagon\MeatWagon.mdl</t>
        </is>
      </c>
      <c r="R6" t="inlineStr">
        <is>
          <t>Confirmed across two runs. Fortified is where magic-heavy kits are weakest in stock WC3.</t>
        </is>
      </c>
    </row>
    <row r="7">
      <c r="A7" t="n">
        <v>3</v>
      </c>
      <c r="B7" t="inlineStr">
        <is>
          <t>a</t>
        </is>
      </c>
      <c r="C7" t="inlineStr">
        <is>
          <t>Castle Destroyer</t>
        </is>
      </c>
      <c r="D7" t="n">
        <v>260</v>
      </c>
      <c r="E7" t="n">
        <v>2</v>
      </c>
      <c r="F7" t="inlineStr">
        <is>
          <t>fort</t>
        </is>
      </c>
      <c r="H7" t="n">
        <v>335</v>
      </c>
      <c r="I7" t="n">
        <v>1</v>
      </c>
      <c r="J7" t="n">
        <v>0</v>
      </c>
      <c r="K7" t="n">
        <v>0</v>
      </c>
      <c r="L7" t="inlineStr">
        <is>
          <t>siege</t>
        </is>
      </c>
      <c r="M7" t="n">
        <v>499</v>
      </c>
      <c r="N7" t="n">
        <v>100</v>
      </c>
      <c r="P7" t="inlineStr">
        <is>
          <t>e020</t>
        </is>
      </c>
      <c r="Q7" t="inlineStr">
        <is>
          <t>units\creeps\UndeadShipBattleShip\UndeadShipBattleShip.mdl</t>
        </is>
      </c>
      <c r="R7" t="inlineStr">
        <is>
          <t>Confirmed across two runs. Fortified is where magic-heavy kits are weakest in stock WC3.</t>
        </is>
      </c>
    </row>
    <row r="8">
      <c r="A8" t="n">
        <v>4</v>
      </c>
      <c r="B8" t="inlineStr">
        <is>
          <t>main</t>
        </is>
      </c>
      <c r="C8" t="inlineStr">
        <is>
          <t>Dark Wind Rider</t>
        </is>
      </c>
      <c r="D8" t="n">
        <v>285</v>
      </c>
      <c r="E8" t="n">
        <v>1</v>
      </c>
      <c r="F8" t="inlineStr">
        <is>
          <t>small</t>
        </is>
      </c>
      <c r="G8" t="inlineStr">
        <is>
          <t>fly</t>
        </is>
      </c>
      <c r="H8" t="n">
        <v>315</v>
      </c>
      <c r="I8" t="n">
        <v>1</v>
      </c>
      <c r="J8" t="n">
        <v>0</v>
      </c>
      <c r="K8" t="n">
        <v>0</v>
      </c>
      <c r="L8" t="inlineStr">
        <is>
          <t>siege</t>
        </is>
      </c>
      <c r="M8" t="n">
        <v>499</v>
      </c>
      <c r="N8" t="n">
        <v>100</v>
      </c>
      <c r="P8" t="inlineStr">
        <is>
          <t>e01K</t>
        </is>
      </c>
      <c r="Q8" t="inlineStr">
        <is>
          <t>units\orc\SpiritWyvern\SpiritWyvern.mdl</t>
        </is>
      </c>
      <c r="R8" t="inlineStr">
        <is>
          <t>First air wave. Air runs ~76% of trunk HP. LIGHT armour - and in stock WC3 air units carry Light, so armour type may follow UNIT KIND rather than a wave schedule.</t>
        </is>
      </c>
    </row>
    <row r="9">
      <c r="A9" t="n">
        <v>4</v>
      </c>
      <c r="B9" t="inlineStr">
        <is>
          <t>a</t>
        </is>
      </c>
      <c r="C9" t="inlineStr">
        <is>
          <t>The Dark One's Eyes</t>
        </is>
      </c>
      <c r="D9" t="n">
        <v>480</v>
      </c>
      <c r="E9" t="n">
        <v>2</v>
      </c>
      <c r="F9" t="inlineStr">
        <is>
          <t>small</t>
        </is>
      </c>
      <c r="G9" t="inlineStr">
        <is>
          <t>fly</t>
        </is>
      </c>
      <c r="H9" t="n">
        <v>330</v>
      </c>
      <c r="I9" t="n">
        <v>1</v>
      </c>
      <c r="J9" t="n">
        <v>0</v>
      </c>
      <c r="K9" t="n">
        <v>0</v>
      </c>
      <c r="L9" t="inlineStr">
        <is>
          <t>siege</t>
        </is>
      </c>
      <c r="M9" t="n">
        <v>499</v>
      </c>
      <c r="N9" t="n">
        <v>100</v>
      </c>
      <c r="O9" t="inlineStr">
        <is>
          <t>A013,ACev</t>
        </is>
      </c>
      <c r="P9" t="inlineStr">
        <is>
          <t>e010</t>
        </is>
      </c>
      <c r="Q9" t="inlineStr">
        <is>
          <t>units\nightelf\Chimaera\Chimaera.mdl</t>
        </is>
      </c>
      <c r="R9" t="inlineStr">
        <is>
          <t>First air wave. Air runs ~76% of trunk HP. LIGHT armour - and in stock WC3 air units carry Light, so armour type may follow UNIT KIND rather than a wave schedule.</t>
        </is>
      </c>
    </row>
    <row r="10">
      <c r="A10" t="n">
        <v>5</v>
      </c>
      <c r="B10" t="inlineStr">
        <is>
          <t>main</t>
        </is>
      </c>
      <c r="C10" t="inlineStr">
        <is>
          <t>Condemned Councilman</t>
        </is>
      </c>
      <c r="D10" t="n">
        <v>335</v>
      </c>
      <c r="E10" t="n">
        <v>2</v>
      </c>
      <c r="F10" t="inlineStr">
        <is>
          <t>hero</t>
        </is>
      </c>
      <c r="H10" t="n">
        <v>325</v>
      </c>
      <c r="I10" t="n">
        <v>1</v>
      </c>
      <c r="J10" t="n">
        <v>0</v>
      </c>
      <c r="K10" t="n">
        <v>0</v>
      </c>
      <c r="L10" t="inlineStr">
        <is>
          <t>siege</t>
        </is>
      </c>
      <c r="M10" t="n">
        <v>499</v>
      </c>
      <c r="N10" t="n">
        <v>100</v>
      </c>
      <c r="P10" t="inlineStr">
        <is>
          <t>e003</t>
        </is>
      </c>
      <c r="Q10" t="inlineStr">
        <is>
          <t>units\orc\WitchDoctor\WitchDoctor.mdl</t>
        </is>
      </c>
      <c r="R10" t="inlineStr">
        <is>
          <t>Armour type "hero" read on this wave; unclear whether it is the BOSS or the whole wave. Boss = 4.40x fitted trunk.</t>
        </is>
      </c>
    </row>
    <row r="11">
      <c r="A11" t="n">
        <v>5</v>
      </c>
      <c r="B11" t="inlineStr">
        <is>
          <t>a</t>
        </is>
      </c>
      <c r="C11" t="inlineStr">
        <is>
          <t>Freakish Troll</t>
        </is>
      </c>
      <c r="D11" t="n">
        <v>270</v>
      </c>
      <c r="E11" t="n">
        <v>3</v>
      </c>
      <c r="F11" t="inlineStr">
        <is>
          <t>hero</t>
        </is>
      </c>
      <c r="H11" t="n">
        <v>325</v>
      </c>
      <c r="I11" t="n">
        <v>1</v>
      </c>
      <c r="J11" t="n">
        <v>0</v>
      </c>
      <c r="K11" t="n">
        <v>0</v>
      </c>
      <c r="L11" t="inlineStr">
        <is>
          <t>siege</t>
        </is>
      </c>
      <c r="M11" t="n">
        <v>499</v>
      </c>
      <c r="N11" t="n">
        <v>100</v>
      </c>
      <c r="O11" t="inlineStr">
        <is>
          <t>A027</t>
        </is>
      </c>
      <c r="P11" t="inlineStr">
        <is>
          <t>e028</t>
        </is>
      </c>
      <c r="Q11" t="inlineStr">
        <is>
          <t>units\orc\HeadHunter\HeadHunter_V1.mdl</t>
        </is>
      </c>
      <c r="R11" t="inlineStr">
        <is>
          <t>Armour type "hero" read on this wave; unclear whether it is the BOSS or the whole wave. Boss = 4.40x fitted trunk.</t>
        </is>
      </c>
    </row>
    <row r="12">
      <c r="A12" t="n">
        <v>6</v>
      </c>
      <c r="B12" t="inlineStr">
        <is>
          <t>main</t>
        </is>
      </c>
      <c r="C12" t="inlineStr">
        <is>
          <t>Warped Wizard</t>
        </is>
      </c>
      <c r="D12" t="n">
        <v>549</v>
      </c>
      <c r="E12" t="n">
        <v>2</v>
      </c>
      <c r="F12" t="inlineStr">
        <is>
          <t>medium</t>
        </is>
      </c>
      <c r="H12" t="n">
        <v>315</v>
      </c>
      <c r="I12" t="n">
        <v>1</v>
      </c>
      <c r="J12" t="n">
        <v>0</v>
      </c>
      <c r="K12" t="n">
        <v>0</v>
      </c>
      <c r="L12" t="inlineStr">
        <is>
          <t>siege</t>
        </is>
      </c>
      <c r="M12" t="n">
        <v>499</v>
      </c>
      <c r="N12" t="n">
        <v>100</v>
      </c>
      <c r="P12" t="inlineStr">
        <is>
          <t>e004</t>
        </is>
      </c>
      <c r="Q12" t="inlineStr">
        <is>
          <t>units\orc\OrcWarlockGuldan\OrcWarlockGuldan.mdl</t>
        </is>
      </c>
      <c r="R12" t="inlineStr">
        <is>
          <t>Medium armour on a plain-ground wave, where wave 2 (also plain ground) was Heavy - so armour type is NOT predictable from composition label alone.</t>
        </is>
      </c>
    </row>
    <row r="13">
      <c r="A13" t="n">
        <v>6</v>
      </c>
      <c r="B13" t="inlineStr">
        <is>
          <t>a</t>
        </is>
      </c>
      <c r="C13" t="inlineStr">
        <is>
          <t>Mutant Mage</t>
        </is>
      </c>
      <c r="D13" t="n">
        <v>615</v>
      </c>
      <c r="E13" t="n">
        <v>3</v>
      </c>
      <c r="F13" t="inlineStr">
        <is>
          <t>medium</t>
        </is>
      </c>
      <c r="H13" t="n">
        <v>315</v>
      </c>
      <c r="I13" t="n">
        <v>1</v>
      </c>
      <c r="J13" t="n">
        <v>0</v>
      </c>
      <c r="K13" t="n">
        <v>0</v>
      </c>
      <c r="L13" t="inlineStr">
        <is>
          <t>siege</t>
        </is>
      </c>
      <c r="M13" t="n">
        <v>499</v>
      </c>
      <c r="N13" t="n">
        <v>100</v>
      </c>
      <c r="P13" t="inlineStr">
        <is>
          <t>e01T</t>
        </is>
      </c>
      <c r="Q13" t="inlineStr">
        <is>
          <t>Units\Creeps\MurgulBloodGill\MurgulBloodGill.mdl</t>
        </is>
      </c>
      <c r="R13" t="inlineStr">
        <is>
          <t>Medium armour on a plain-ground wave, where wave 2 (also plain ground) was Heavy - so armour type is NOT predictable from composition label alone.</t>
        </is>
      </c>
    </row>
    <row r="14">
      <c r="A14" t="n">
        <v>7</v>
      </c>
      <c r="B14" t="inlineStr">
        <is>
          <t>main</t>
        </is>
      </c>
      <c r="C14" t="inlineStr">
        <is>
          <t>Hell Bovine</t>
        </is>
      </c>
      <c r="D14" t="n">
        <v>657</v>
      </c>
      <c r="E14" t="n">
        <v>3</v>
      </c>
      <c r="F14" t="inlineStr">
        <is>
          <t>large</t>
        </is>
      </c>
      <c r="H14" t="n">
        <v>315</v>
      </c>
      <c r="I14" t="n">
        <v>1</v>
      </c>
      <c r="J14" t="n">
        <v>0</v>
      </c>
      <c r="K14" t="n">
        <v>0</v>
      </c>
      <c r="L14" t="inlineStr">
        <is>
          <t>siege</t>
        </is>
      </c>
      <c r="M14" t="n">
        <v>499</v>
      </c>
      <c r="N14" t="n">
        <v>100</v>
      </c>
      <c r="P14" t="inlineStr">
        <is>
          <t>e005</t>
        </is>
      </c>
      <c r="Q14" t="inlineStr">
        <is>
          <t>units\orc\spiritwalker\spiritwalker.mdl</t>
        </is>
      </c>
      <c r="R14" t="inlineStr">
        <is>
          <t>Armour type OBSERVED (owner read it) — this is the wave that CONFIRMED the period-5 cycle, having been predicted before it was read.</t>
        </is>
      </c>
    </row>
    <row r="15">
      <c r="A15" t="n">
        <v>7</v>
      </c>
      <c r="B15" t="inlineStr">
        <is>
          <t>a</t>
        </is>
      </c>
      <c r="C15" t="inlineStr">
        <is>
          <t>Extra Fast Cow King</t>
        </is>
      </c>
      <c r="D15" t="n">
        <v>1350</v>
      </c>
      <c r="E15" t="n">
        <v>4</v>
      </c>
      <c r="F15" t="inlineStr">
        <is>
          <t>large</t>
        </is>
      </c>
      <c r="H15" t="n">
        <v>485</v>
      </c>
      <c r="I15" t="n">
        <v>2</v>
      </c>
      <c r="J15" t="n">
        <v>0</v>
      </c>
      <c r="K15" t="n">
        <v>0</v>
      </c>
      <c r="L15" t="inlineStr">
        <is>
          <t>siege</t>
        </is>
      </c>
      <c r="M15" t="n">
        <v>499</v>
      </c>
      <c r="N15" t="n">
        <v>100</v>
      </c>
      <c r="P15" t="inlineStr">
        <is>
          <t>e023</t>
        </is>
      </c>
      <c r="Q15" t="inlineStr">
        <is>
          <t>units\orc\spiritwalker\spiritwalker.mdl</t>
        </is>
      </c>
      <c r="R15" t="inlineStr">
        <is>
          <t>Armour type OBSERVED (owner read it) — this is the wave that CONFIRMED the period-5 cycle, having been predicted before it was read.</t>
        </is>
      </c>
    </row>
    <row r="16">
      <c r="A16" t="n">
        <v>8</v>
      </c>
      <c r="B16" t="inlineStr">
        <is>
          <t>main</t>
        </is>
      </c>
      <c r="C16" t="inlineStr">
        <is>
          <t>Possessed Haroi</t>
        </is>
      </c>
      <c r="D16" t="n">
        <v>847</v>
      </c>
      <c r="E16" t="n">
        <v>3</v>
      </c>
      <c r="F16" t="inlineStr">
        <is>
          <t>fort</t>
        </is>
      </c>
      <c r="H16" t="n">
        <v>315</v>
      </c>
      <c r="I16" t="n">
        <v>1</v>
      </c>
      <c r="J16" t="n">
        <v>0</v>
      </c>
      <c r="K16" t="n">
        <v>0</v>
      </c>
      <c r="L16" t="inlineStr">
        <is>
          <t>siege</t>
        </is>
      </c>
      <c r="M16" t="n">
        <v>499</v>
      </c>
      <c r="N16" t="n">
        <v>100</v>
      </c>
      <c r="O16" t="inlineStr">
        <is>
          <t>A013</t>
        </is>
      </c>
      <c r="P16" t="inlineStr">
        <is>
          <t>e022</t>
        </is>
      </c>
      <c r="Q16" t="inlineStr">
        <is>
          <t>units\demon\Infernal\Infernal.mdl</t>
        </is>
      </c>
      <c r="R16" t="inlineStr">
        <is>
          <t>Armour type OBSERVED and matches the period-5 cycle prediction (8/8).</t>
        </is>
      </c>
    </row>
    <row r="17">
      <c r="A17" t="n">
        <v>8</v>
      </c>
      <c r="B17" t="inlineStr">
        <is>
          <t>a</t>
        </is>
      </c>
      <c r="C17" t="inlineStr">
        <is>
          <t>Dire Mammoth</t>
        </is>
      </c>
      <c r="D17" t="n">
        <v>948</v>
      </c>
      <c r="E17" t="n">
        <v>4</v>
      </c>
      <c r="F17" t="inlineStr">
        <is>
          <t>fort</t>
        </is>
      </c>
      <c r="H17" t="n">
        <v>390</v>
      </c>
      <c r="I17" t="n">
        <v>1</v>
      </c>
      <c r="J17" t="n">
        <v>0</v>
      </c>
      <c r="K17" t="n">
        <v>0</v>
      </c>
      <c r="L17" t="inlineStr">
        <is>
          <t>siege</t>
        </is>
      </c>
      <c r="M17" t="n">
        <v>499</v>
      </c>
      <c r="N17" t="n">
        <v>100</v>
      </c>
      <c r="O17" t="inlineStr">
        <is>
          <t>A013</t>
        </is>
      </c>
      <c r="P17" t="inlineStr">
        <is>
          <t>e006</t>
        </is>
      </c>
      <c r="Q17" t="inlineStr">
        <is>
          <t>Units\Creeps\MammothBlack\MammothBlack.mdl</t>
        </is>
      </c>
      <c r="R17" t="inlineStr">
        <is>
          <t>Armour type OBSERVED and matches the period-5 cycle prediction (8/8).</t>
        </is>
      </c>
    </row>
    <row r="18">
      <c r="A18" t="n">
        <v>9</v>
      </c>
      <c r="B18" t="inlineStr">
        <is>
          <t>main</t>
        </is>
      </c>
      <c r="C18" t="inlineStr">
        <is>
          <t>Winged Scout</t>
        </is>
      </c>
      <c r="D18" t="n">
        <v>754</v>
      </c>
      <c r="E18" t="n">
        <v>4</v>
      </c>
      <c r="F18" t="inlineStr">
        <is>
          <t>small</t>
        </is>
      </c>
      <c r="G18" t="inlineStr">
        <is>
          <t>fly</t>
        </is>
      </c>
      <c r="H18" t="n">
        <v>315</v>
      </c>
      <c r="I18" t="n">
        <v>1</v>
      </c>
      <c r="J18" t="n">
        <v>0</v>
      </c>
      <c r="K18" t="n">
        <v>0</v>
      </c>
      <c r="L18" t="inlineStr">
        <is>
          <t>siege</t>
        </is>
      </c>
      <c r="M18" t="n">
        <v>499</v>
      </c>
      <c r="N18" t="n">
        <v>100</v>
      </c>
      <c r="P18" t="inlineStr">
        <is>
          <t>e007</t>
        </is>
      </c>
      <c r="Q18" t="inlineStr">
        <is>
          <t>units\critters\Albatross\Albatross.mdl</t>
        </is>
      </c>
      <c r="R18" t="inlineStr">
        <is>
          <t>81% of trunk. Armour type OBSERVED — matches the cycle (9/9) AND the phase-lock: this is an air wave and it lands on Light, as predicted.</t>
        </is>
      </c>
    </row>
    <row r="19">
      <c r="A19" t="n">
        <v>9</v>
      </c>
      <c r="B19" t="inlineStr">
        <is>
          <t>a</t>
        </is>
      </c>
      <c r="C19" t="inlineStr">
        <is>
          <t>Aviary Lord</t>
        </is>
      </c>
      <c r="D19" t="n">
        <v>1900</v>
      </c>
      <c r="E19" t="n">
        <v>5</v>
      </c>
      <c r="F19" t="inlineStr">
        <is>
          <t>small</t>
        </is>
      </c>
      <c r="G19" t="inlineStr">
        <is>
          <t>fly</t>
        </is>
      </c>
      <c r="H19" t="n">
        <v>150</v>
      </c>
      <c r="I19" t="n">
        <v>1</v>
      </c>
      <c r="J19" t="n">
        <v>0</v>
      </c>
      <c r="K19" t="n">
        <v>0</v>
      </c>
      <c r="L19" t="inlineStr">
        <is>
          <t>siege</t>
        </is>
      </c>
      <c r="M19" t="n">
        <v>499</v>
      </c>
      <c r="N19" t="n">
        <v>100</v>
      </c>
      <c r="P19" t="inlineStr">
        <is>
          <t>e024</t>
        </is>
      </c>
      <c r="Q19" t="inlineStr">
        <is>
          <t>units\critters\Vulture\Vulture.mdl</t>
        </is>
      </c>
      <c r="R19" t="inlineStr">
        <is>
          <t>81% of trunk. Armour type OBSERVED — matches the cycle (9/9) AND the phase-lock: this is an air wave and it lands on Light, as predicted.</t>
        </is>
      </c>
    </row>
    <row r="20">
      <c r="A20" t="n">
        <v>10</v>
      </c>
      <c r="B20" t="inlineStr">
        <is>
          <t>main</t>
        </is>
      </c>
      <c r="C20" t="inlineStr">
        <is>
          <t>Mutated Stag</t>
        </is>
      </c>
      <c r="D20" t="n">
        <v>1109</v>
      </c>
      <c r="E20" t="n">
        <v>4</v>
      </c>
      <c r="F20" t="inlineStr">
        <is>
          <t>hero</t>
        </is>
      </c>
      <c r="H20" t="n">
        <v>315</v>
      </c>
      <c r="I20" t="n">
        <v>2</v>
      </c>
      <c r="J20" t="n">
        <v>0</v>
      </c>
      <c r="K20" t="n">
        <v>0</v>
      </c>
      <c r="L20" t="inlineStr">
        <is>
          <t>siege</t>
        </is>
      </c>
      <c r="M20" t="n">
        <v>649</v>
      </c>
      <c r="N20" t="n">
        <v>100</v>
      </c>
      <c r="P20" t="inlineStr">
        <is>
          <t>e008</t>
        </is>
      </c>
      <c r="Q20" t="inlineStr">
        <is>
          <t>units\nightelf\HeroKeeperoftheGrove\HeroKeeperoftheGrove.mdl</t>
        </is>
      </c>
      <c r="R20" t="inlineStr">
        <is>
          <t>Boss = 3.89x fitted trunk. Armour type OBSERVED — CLOSES THE PHASE-LOCK LOOP: the cycle fitted on waves 1-5 correctly called an air wave (9) and a boss wave (10) five waves out. 10/10.</t>
        </is>
      </c>
    </row>
    <row r="21">
      <c r="A21" t="n">
        <v>10</v>
      </c>
      <c r="B21" t="inlineStr">
        <is>
          <t>a</t>
        </is>
      </c>
      <c r="C21" t="inlineStr">
        <is>
          <t>Forest Avatar</t>
        </is>
      </c>
      <c r="D21" t="n">
        <v>1246</v>
      </c>
      <c r="E21" t="n">
        <v>5</v>
      </c>
      <c r="F21" t="inlineStr">
        <is>
          <t>hero</t>
        </is>
      </c>
      <c r="H21" t="n">
        <v>315</v>
      </c>
      <c r="I21" t="n">
        <v>2</v>
      </c>
      <c r="J21" t="n">
        <v>0</v>
      </c>
      <c r="K21" t="n">
        <v>0</v>
      </c>
      <c r="L21" t="inlineStr">
        <is>
          <t>siege</t>
        </is>
      </c>
      <c r="M21" t="n">
        <v>649</v>
      </c>
      <c r="N21" t="n">
        <v>100</v>
      </c>
      <c r="O21" t="inlineStr">
        <is>
          <t>SCae</t>
        </is>
      </c>
      <c r="P21" t="inlineStr">
        <is>
          <t>e029</t>
        </is>
      </c>
      <c r="Q21" t="inlineStr">
        <is>
          <t>units\nightelf\HeroKeeperoftheGrove\HeroKeeperoftheGrove.mdl</t>
        </is>
      </c>
      <c r="R21" t="inlineStr">
        <is>
          <t>Boss = 3.89x fitted trunk. Armour type OBSERVED — CLOSES THE PHASE-LOCK LOOP: the cycle fitted on waves 1-5 correctly called an air wave (9) and a boss wave (10) five waves out. 10/10.</t>
        </is>
      </c>
    </row>
    <row r="22">
      <c r="A22" t="n">
        <v>11</v>
      </c>
      <c r="B22" t="inlineStr">
        <is>
          <t>main</t>
        </is>
      </c>
      <c r="C22" t="inlineStr">
        <is>
          <t>Death's Breath</t>
        </is>
      </c>
      <c r="D22" t="n">
        <v>1600</v>
      </c>
      <c r="E22" t="n">
        <v>5</v>
      </c>
      <c r="F22" t="inlineStr">
        <is>
          <t>medium</t>
        </is>
      </c>
      <c r="H22" t="n">
        <v>315</v>
      </c>
      <c r="I22" t="n">
        <v>2</v>
      </c>
      <c r="J22" t="n">
        <v>0</v>
      </c>
      <c r="K22" t="n">
        <v>0</v>
      </c>
      <c r="L22" t="inlineStr">
        <is>
          <t>siege</t>
        </is>
      </c>
      <c r="M22" t="n">
        <v>7</v>
      </c>
      <c r="N22" t="n">
        <v>100</v>
      </c>
      <c r="P22" t="inlineStr">
        <is>
          <t>e009</t>
        </is>
      </c>
      <c r="Q22" t="inlineStr">
        <is>
          <t>units\undead\Shade\Shade.mdl</t>
        </is>
      </c>
      <c r="R22" t="inlineStr">
        <is>
          <t>Armour type OBSERVED — cycle holds 11/11.</t>
        </is>
      </c>
    </row>
    <row r="23">
      <c r="A23" t="n">
        <v>11</v>
      </c>
      <c r="B23" t="inlineStr">
        <is>
          <t>a</t>
        </is>
      </c>
      <c r="C23" t="inlineStr">
        <is>
          <t>Revived Dead</t>
        </is>
      </c>
      <c r="D23" t="n">
        <v>1800</v>
      </c>
      <c r="E23" t="n">
        <v>6</v>
      </c>
      <c r="F23" t="inlineStr">
        <is>
          <t>medium</t>
        </is>
      </c>
      <c r="H23" t="n">
        <v>315</v>
      </c>
      <c r="I23" t="n">
        <v>2</v>
      </c>
      <c r="J23" t="n">
        <v>0</v>
      </c>
      <c r="K23" t="n">
        <v>0</v>
      </c>
      <c r="L23" t="inlineStr">
        <is>
          <t>siege</t>
        </is>
      </c>
      <c r="M23" t="n">
        <v>8</v>
      </c>
      <c r="N23" t="n">
        <v>100</v>
      </c>
      <c r="P23" t="inlineStr">
        <is>
          <t>e01W</t>
        </is>
      </c>
      <c r="Q23" t="inlineStr">
        <is>
          <t>units\other\FleshGolem\FleshGolem.mdl</t>
        </is>
      </c>
      <c r="R23" t="inlineStr">
        <is>
          <t>Armour type OBSERVED — cycle holds 11/11.</t>
        </is>
      </c>
    </row>
    <row r="24">
      <c r="A24" t="n">
        <v>12</v>
      </c>
      <c r="B24" t="inlineStr">
        <is>
          <t>main</t>
        </is>
      </c>
      <c r="C24" t="inlineStr">
        <is>
          <t>Forsaken</t>
        </is>
      </c>
      <c r="D24" t="n">
        <v>3346</v>
      </c>
      <c r="E24" t="n">
        <v>5</v>
      </c>
      <c r="F24" t="inlineStr">
        <is>
          <t>large</t>
        </is>
      </c>
      <c r="H24" t="n">
        <v>420</v>
      </c>
      <c r="I24" t="n">
        <v>4</v>
      </c>
      <c r="J24" t="n">
        <v>0</v>
      </c>
      <c r="K24" t="n">
        <v>0</v>
      </c>
      <c r="L24" t="inlineStr">
        <is>
          <t>siege</t>
        </is>
      </c>
      <c r="M24" t="n">
        <v>649</v>
      </c>
      <c r="N24" t="n">
        <v>100</v>
      </c>
      <c r="P24" t="inlineStr">
        <is>
          <t>e00A</t>
        </is>
      </c>
      <c r="Q24" t="inlineStr">
        <is>
          <t>Units\Creeps\MurgulReaver\MurgulReaver.mdl</t>
        </is>
      </c>
      <c r="R24" t="inlineStr">
        <is>
          <t>OVERSOUL DOUBLES KILL GOLD: +4 per mob against a base of 2 (owner 2026-09-05). So the modifier that makes mobs stronger also doubles their bounty - risk priced as reward. Also pins the base kill rate at 2g by wave 12, up from 1g on the early waves. Sits far ABOVE trunk - the oversoul modifier is why. Armour type OBSERVED — cycle holds 12/12.</t>
        </is>
      </c>
    </row>
    <row r="25">
      <c r="A25" t="n">
        <v>12</v>
      </c>
      <c r="B25" t="inlineStr">
        <is>
          <t>a</t>
        </is>
      </c>
      <c r="C25" t="inlineStr">
        <is>
          <t>Toad Assassin</t>
        </is>
      </c>
      <c r="D25" t="n">
        <v>3776</v>
      </c>
      <c r="E25" t="n">
        <v>6</v>
      </c>
      <c r="F25" t="inlineStr">
        <is>
          <t>large</t>
        </is>
      </c>
      <c r="H25" t="n">
        <v>522</v>
      </c>
      <c r="I25" t="n">
        <v>4</v>
      </c>
      <c r="J25" t="n">
        <v>0</v>
      </c>
      <c r="K25" t="n">
        <v>0</v>
      </c>
      <c r="L25" t="inlineStr">
        <is>
          <t>siege</t>
        </is>
      </c>
      <c r="M25" t="n">
        <v>649</v>
      </c>
      <c r="N25" t="n">
        <v>100</v>
      </c>
      <c r="O25" t="inlineStr">
        <is>
          <t>A02T</t>
        </is>
      </c>
      <c r="P25" t="inlineStr">
        <is>
          <t>e01L</t>
        </is>
      </c>
      <c r="Q25" t="inlineStr">
        <is>
          <t>Units\Creeps\MurgulShadowCaster\MurgulShadowCaster.mdl</t>
        </is>
      </c>
      <c r="R25" t="inlineStr">
        <is>
          <t>OVERSOUL DOUBLES KILL GOLD: +4 per mob against a base of 2 (owner 2026-09-05). So the modifier that makes mobs stronger also doubles their bounty - risk priced as reward. Also pins the base kill rate at 2g by wave 12, up from 1g on the early waves. Sits far ABOVE trunk - the oversoul modifier is why. Armour type OBSERVED — cycle holds 12/12.</t>
        </is>
      </c>
    </row>
    <row r="26">
      <c r="A26" t="n">
        <v>13</v>
      </c>
      <c r="B26" t="inlineStr">
        <is>
          <t>main</t>
        </is>
      </c>
      <c r="C26" t="inlineStr">
        <is>
          <t>Demented Beast</t>
        </is>
      </c>
      <c r="D26" t="n">
        <v>2574</v>
      </c>
      <c r="E26" t="n">
        <v>6</v>
      </c>
      <c r="F26" t="inlineStr">
        <is>
          <t>fort</t>
        </is>
      </c>
      <c r="H26" t="n">
        <v>315</v>
      </c>
      <c r="I26" t="n">
        <v>2</v>
      </c>
      <c r="J26" t="n">
        <v>0</v>
      </c>
      <c r="K26" t="n">
        <v>0</v>
      </c>
      <c r="L26" t="inlineStr">
        <is>
          <t>siege</t>
        </is>
      </c>
      <c r="M26" t="n">
        <v>649</v>
      </c>
      <c r="N26" t="n">
        <v>100</v>
      </c>
      <c r="P26" t="inlineStr">
        <is>
          <t>e00B</t>
        </is>
      </c>
      <c r="Q26" t="inlineStr">
        <is>
          <t>Units\Creeps\Mammoth\Mammoth.mdl</t>
        </is>
      </c>
      <c r="R26" t="inlineStr">
        <is>
          <t>Anchor for the early-phase 29%/wave fit. Armour type OBSERVED — cycle holds 13/13, and note this is a CLEAN "nothing special" wave carrying Fortified, which rules out any link between armour type and composition.</t>
        </is>
      </c>
    </row>
    <row r="27">
      <c r="A27" t="n">
        <v>13</v>
      </c>
      <c r="B27" t="inlineStr">
        <is>
          <t>a</t>
        </is>
      </c>
      <c r="C27" t="inlineStr">
        <is>
          <t>Hell's Embrace</t>
        </is>
      </c>
      <c r="D27" t="n">
        <v>6512</v>
      </c>
      <c r="E27" t="n">
        <v>7</v>
      </c>
      <c r="F27" t="inlineStr">
        <is>
          <t>fort</t>
        </is>
      </c>
      <c r="H27" t="n">
        <v>158</v>
      </c>
      <c r="I27" t="n">
        <v>2</v>
      </c>
      <c r="J27" t="n">
        <v>0</v>
      </c>
      <c r="K27" t="n">
        <v>0</v>
      </c>
      <c r="L27" t="inlineStr">
        <is>
          <t>siege</t>
        </is>
      </c>
      <c r="M27" t="n">
        <v>649</v>
      </c>
      <c r="N27" t="n">
        <v>100</v>
      </c>
      <c r="O27" t="inlineStr">
        <is>
          <t>A013</t>
        </is>
      </c>
      <c r="P27" t="inlineStr">
        <is>
          <t>e01V</t>
        </is>
      </c>
      <c r="Q27" t="inlineStr">
        <is>
          <t>units\orc\Grunt\Grunt.mdl</t>
        </is>
      </c>
      <c r="R27" t="inlineStr">
        <is>
          <t>Anchor for the early-phase 29%/wave fit. Armour type OBSERVED — cycle holds 13/13, and note this is a CLEAN "nothing special" wave carrying Fortified, which rules out any link between armour type and composition.</t>
        </is>
      </c>
    </row>
    <row r="28">
      <c r="A28" t="n">
        <v>14</v>
      </c>
      <c r="B28" t="inlineStr">
        <is>
          <t>main</t>
        </is>
      </c>
      <c r="C28" t="inlineStr">
        <is>
          <t>Bonus Box I</t>
        </is>
      </c>
      <c r="D28" t="n">
        <v>2400</v>
      </c>
      <c r="E28" t="n">
        <v>6</v>
      </c>
      <c r="F28" t="inlineStr">
        <is>
          <t>small</t>
        </is>
      </c>
      <c r="G28" t="inlineStr">
        <is>
          <t>fly</t>
        </is>
      </c>
      <c r="H28" t="n">
        <v>250</v>
      </c>
      <c r="I28" t="n">
        <v>3</v>
      </c>
      <c r="J28" t="n">
        <v>0</v>
      </c>
      <c r="K28" t="n">
        <v>0</v>
      </c>
      <c r="L28" t="inlineStr">
        <is>
          <t>siege</t>
        </is>
      </c>
      <c r="M28" t="n">
        <v>649</v>
      </c>
      <c r="N28" t="n">
        <v>100</v>
      </c>
      <c r="P28" t="inlineStr">
        <is>
          <t>e00C</t>
        </is>
      </c>
      <c r="Q28" t="inlineStr">
        <is>
          <t>units\other\BloodElfWagon\BloodElfWagon.mdl</t>
        </is>
      </c>
      <c r="R28" t="inlineStr">
        <is>
          <t>MIXED: air unit 2400 (72% of trunk), non-air 3250 at armour 7. The 98%-of-fit validation point. Armour type OBSERVED — cycle 14/14, and the phase-lock holds (air wave on Light).</t>
        </is>
      </c>
    </row>
    <row r="29">
      <c r="A29" t="n">
        <v>14</v>
      </c>
      <c r="B29" t="inlineStr">
        <is>
          <t>a</t>
        </is>
      </c>
      <c r="C29" t="inlineStr">
        <is>
          <t>Bonus Seafood I</t>
        </is>
      </c>
      <c r="D29" t="n">
        <v>3250</v>
      </c>
      <c r="E29" t="n">
        <v>7</v>
      </c>
      <c r="F29" t="inlineStr">
        <is>
          <t>small</t>
        </is>
      </c>
      <c r="H29" t="n">
        <v>315</v>
      </c>
      <c r="I29" t="n">
        <v>4</v>
      </c>
      <c r="J29" t="n">
        <v>0</v>
      </c>
      <c r="K29" t="n">
        <v>0</v>
      </c>
      <c r="L29" t="inlineStr">
        <is>
          <t>siege</t>
        </is>
      </c>
      <c r="M29" t="n">
        <v>649</v>
      </c>
      <c r="N29" t="n">
        <v>100</v>
      </c>
      <c r="P29" t="inlineStr">
        <is>
          <t>e01Q</t>
        </is>
      </c>
      <c r="Q29" t="inlineStr">
        <is>
          <t>units\critters\SpiderCrab\SpiderCrab.mdl</t>
        </is>
      </c>
      <c r="R29" t="inlineStr">
        <is>
          <t>MIXED: air unit 2400 (72% of trunk), non-air 3250 at armour 7. The 98%-of-fit validation point. Armour type OBSERVED — cycle 14/14, and the phase-lock holds (air wave on Light).</t>
        </is>
      </c>
    </row>
    <row r="30">
      <c r="A30" t="n">
        <v>15</v>
      </c>
      <c r="B30" t="inlineStr">
        <is>
          <t>main</t>
        </is>
      </c>
      <c r="C30" t="inlineStr">
        <is>
          <t>Skeletor</t>
        </is>
      </c>
      <c r="D30" t="n">
        <v>2993</v>
      </c>
      <c r="E30" t="n">
        <v>7</v>
      </c>
      <c r="F30" t="inlineStr">
        <is>
          <t>hero</t>
        </is>
      </c>
      <c r="H30" t="n">
        <v>315</v>
      </c>
      <c r="I30" t="n">
        <v>2</v>
      </c>
      <c r="J30" t="n">
        <v>0</v>
      </c>
      <c r="K30" t="n">
        <v>0</v>
      </c>
      <c r="L30" t="inlineStr">
        <is>
          <t>siege</t>
        </is>
      </c>
      <c r="M30" t="n">
        <v>649</v>
      </c>
      <c r="N30" t="n">
        <v>100</v>
      </c>
      <c r="O30" t="inlineStr">
        <is>
          <t>Apsh</t>
        </is>
      </c>
      <c r="P30" t="inlineStr">
        <is>
          <t>e00D</t>
        </is>
      </c>
      <c r="Q30" t="inlineStr">
        <is>
          <t>units\undead\Skeleton\Skeleton.mdl</t>
        </is>
      </c>
      <c r="R30" t="inlineStr">
        <is>
          <t>Boss carries an ARMOUR AURA: 7+5=12, i.e. 29.6% -&gt; 41.9% reduction, about +21% effective HP. Armour type OBSERVED — cycle 15/15, and the phase-lock holds (boss wave on Hero).</t>
        </is>
      </c>
    </row>
    <row r="31">
      <c r="A31" t="n">
        <v>15</v>
      </c>
      <c r="B31" t="inlineStr">
        <is>
          <t>a</t>
        </is>
      </c>
      <c r="C31" t="inlineStr">
        <is>
          <t>Greater Lich</t>
        </is>
      </c>
      <c r="D31" t="n">
        <v>3399</v>
      </c>
      <c r="E31" t="n">
        <v>8</v>
      </c>
      <c r="F31" t="inlineStr">
        <is>
          <t>hero</t>
        </is>
      </c>
      <c r="H31" t="n">
        <v>400</v>
      </c>
      <c r="I31" t="n">
        <v>2</v>
      </c>
      <c r="J31" t="n">
        <v>0</v>
      </c>
      <c r="K31" t="n">
        <v>0</v>
      </c>
      <c r="L31" t="inlineStr">
        <is>
          <t>siege</t>
        </is>
      </c>
      <c r="M31" t="n">
        <v>649</v>
      </c>
      <c r="N31" t="n">
        <v>100</v>
      </c>
      <c r="O31" t="inlineStr">
        <is>
          <t>ACmf,Apsh</t>
        </is>
      </c>
      <c r="P31" t="inlineStr">
        <is>
          <t>e01X</t>
        </is>
      </c>
      <c r="Q31" t="inlineStr">
        <is>
          <t>units\undead\SkeletonMage\SkeletonMage.mdl</t>
        </is>
      </c>
      <c r="R31" t="inlineStr">
        <is>
          <t>Boss carries an ARMOUR AURA: 7+5=12, i.e. 29.6% -&gt; 41.9% reduction, about +21% effective HP. Armour type OBSERVED — cycle 15/15, and the phase-lock holds (boss wave on Hero).</t>
        </is>
      </c>
    </row>
    <row r="32">
      <c r="A32" t="n">
        <v>16</v>
      </c>
      <c r="B32" t="inlineStr">
        <is>
          <t>main</t>
        </is>
      </c>
      <c r="C32" t="inlineStr">
        <is>
          <t>Damned Traitor</t>
        </is>
      </c>
      <c r="D32" t="n">
        <v>3697</v>
      </c>
      <c r="E32" t="n">
        <v>7</v>
      </c>
      <c r="F32" t="inlineStr">
        <is>
          <t>medium</t>
        </is>
      </c>
      <c r="H32" t="n">
        <v>315</v>
      </c>
      <c r="I32" t="n">
        <v>2</v>
      </c>
      <c r="J32" t="n">
        <v>0</v>
      </c>
      <c r="K32" t="n">
        <v>0</v>
      </c>
      <c r="L32" t="inlineStr">
        <is>
          <t>siege</t>
        </is>
      </c>
      <c r="M32" t="n">
        <v>649</v>
      </c>
      <c r="N32" t="n">
        <v>100</v>
      </c>
      <c r="O32" t="inlineStr">
        <is>
          <t>A013</t>
        </is>
      </c>
      <c r="P32" t="inlineStr">
        <is>
          <t>e00E</t>
        </is>
      </c>
      <c r="Q32" t="inlineStr">
        <is>
          <t>units\demon\ChaosWarlock\ChaosWarlock.mdl</t>
        </is>
      </c>
      <c r="R32" t="inlineStr">
        <is>
          <t>Armour type OBSERVED — cycle 16/16, a fourth cycle begins.</t>
        </is>
      </c>
    </row>
    <row r="33">
      <c r="A33" t="n">
        <v>16</v>
      </c>
      <c r="B33" t="inlineStr">
        <is>
          <t>a</t>
        </is>
      </c>
      <c r="C33" t="inlineStr">
        <is>
          <t>Mirage</t>
        </is>
      </c>
      <c r="D33" t="n">
        <v>3400</v>
      </c>
      <c r="E33" t="n">
        <v>8</v>
      </c>
      <c r="F33" t="inlineStr">
        <is>
          <t>medium</t>
        </is>
      </c>
      <c r="H33" t="n">
        <v>325</v>
      </c>
      <c r="I33" t="n">
        <v>2</v>
      </c>
      <c r="J33" t="n">
        <v>0</v>
      </c>
      <c r="K33" t="n">
        <v>0</v>
      </c>
      <c r="L33" t="inlineStr">
        <is>
          <t>siege</t>
        </is>
      </c>
      <c r="M33" t="n">
        <v>649</v>
      </c>
      <c r="N33" t="n">
        <v>100</v>
      </c>
      <c r="O33" t="inlineStr">
        <is>
          <t>A013,ACm2</t>
        </is>
      </c>
      <c r="P33" t="inlineStr">
        <is>
          <t>e021</t>
        </is>
      </c>
      <c r="Q33" t="inlineStr">
        <is>
          <t>units\human\BloodElfSpellThief\BloodElfSpellThief.mdl</t>
        </is>
      </c>
      <c r="R33" t="inlineStr">
        <is>
          <t>Armour type OBSERVED — cycle 16/16, a fourth cycle begins.</t>
        </is>
      </c>
    </row>
    <row r="34">
      <c r="A34" t="n">
        <v>17</v>
      </c>
      <c r="B34" t="inlineStr">
        <is>
          <t>main</t>
        </is>
      </c>
      <c r="C34" t="inlineStr">
        <is>
          <t>Murk Dweller</t>
        </is>
      </c>
      <c r="D34" t="n">
        <v>4291</v>
      </c>
      <c r="E34" t="n">
        <v>8</v>
      </c>
      <c r="F34" t="inlineStr">
        <is>
          <t>large</t>
        </is>
      </c>
      <c r="H34" t="n">
        <v>320</v>
      </c>
      <c r="I34" t="n">
        <v>2</v>
      </c>
      <c r="J34" t="n">
        <v>0</v>
      </c>
      <c r="K34" t="n">
        <v>0</v>
      </c>
      <c r="L34" t="inlineStr">
        <is>
          <t>siege</t>
        </is>
      </c>
      <c r="M34" t="n">
        <v>649</v>
      </c>
      <c r="N34" t="n">
        <v>100</v>
      </c>
      <c r="P34" t="inlineStr">
        <is>
          <t>e00F</t>
        </is>
      </c>
      <c r="Q34" t="inlineStr">
        <is>
          <t>units\human\WaterElemental\WaterElemental.mdl</t>
        </is>
      </c>
      <c r="R34" t="inlineStr">
        <is>
          <t>Clean anchor that SETTLED the ramp: w13-&gt;w17 is 13.6%/wave, against 29% on w2-&gt;w13. Armour type OBSERVED — cycle 17/17.</t>
        </is>
      </c>
    </row>
    <row r="35">
      <c r="A35" t="n">
        <v>17</v>
      </c>
      <c r="B35" t="inlineStr">
        <is>
          <t>a</t>
        </is>
      </c>
      <c r="C35" t="inlineStr">
        <is>
          <t>Scary Fish</t>
        </is>
      </c>
      <c r="D35" t="n">
        <v>8657</v>
      </c>
      <c r="E35" t="n">
        <v>9</v>
      </c>
      <c r="F35" t="inlineStr">
        <is>
          <t>large</t>
        </is>
      </c>
      <c r="H35" t="n">
        <v>240</v>
      </c>
      <c r="I35" t="n">
        <v>2</v>
      </c>
      <c r="J35" t="n">
        <v>0</v>
      </c>
      <c r="K35" t="n">
        <v>0</v>
      </c>
      <c r="L35" t="inlineStr">
        <is>
          <t>siege</t>
        </is>
      </c>
      <c r="M35" t="n">
        <v>649</v>
      </c>
      <c r="N35" t="n">
        <v>100</v>
      </c>
      <c r="P35" t="inlineStr">
        <is>
          <t>e02A</t>
        </is>
      </c>
      <c r="Q35" t="inlineStr">
        <is>
          <t>units\creeps\MurgulSlave\MurgulSlave.mdl</t>
        </is>
      </c>
      <c r="R35" t="inlineStr">
        <is>
          <t>Clean anchor that SETTLED the ramp: w13-&gt;w17 is 13.6%/wave, against 29% on w2-&gt;w13. Armour type OBSERVED — cycle 17/17.</t>
        </is>
      </c>
    </row>
    <row r="36">
      <c r="A36" t="n">
        <v>18</v>
      </c>
      <c r="B36" t="inlineStr">
        <is>
          <t>main</t>
        </is>
      </c>
      <c r="C36" t="inlineStr">
        <is>
          <t>Nether Arachnoid</t>
        </is>
      </c>
      <c r="D36" t="n">
        <v>4460</v>
      </c>
      <c r="E36" t="n">
        <v>8</v>
      </c>
      <c r="F36" t="inlineStr">
        <is>
          <t>fort</t>
        </is>
      </c>
      <c r="H36" t="n">
        <v>390</v>
      </c>
      <c r="I36" t="n">
        <v>2</v>
      </c>
      <c r="J36" t="n">
        <v>0</v>
      </c>
      <c r="K36" t="n">
        <v>0</v>
      </c>
      <c r="L36" t="inlineStr">
        <is>
          <t>siege</t>
        </is>
      </c>
      <c r="M36" t="n">
        <v>649</v>
      </c>
      <c r="N36" t="n">
        <v>100</v>
      </c>
      <c r="O36" t="inlineStr">
        <is>
          <t>Apsh</t>
        </is>
      </c>
      <c r="P36" t="inlineStr">
        <is>
          <t>e00G</t>
        </is>
      </c>
      <c r="Q36" t="inlineStr">
        <is>
          <t>units\creeps\Nerubian\Nerubian.mdl</t>
        </is>
      </c>
      <c r="R36" t="inlineStr">
        <is>
          <t>Armour type PREDICTED by the period-5 cycle (7/7 on observed waves); not read in game.</t>
        </is>
      </c>
    </row>
    <row r="37">
      <c r="A37" t="n">
        <v>18</v>
      </c>
      <c r="B37" t="inlineStr">
        <is>
          <t>a</t>
        </is>
      </c>
      <c r="C37" t="inlineStr">
        <is>
          <t>Nether Ambusher</t>
        </is>
      </c>
      <c r="D37" t="n">
        <v>5100</v>
      </c>
      <c r="E37" t="n">
        <v>9</v>
      </c>
      <c r="F37" t="inlineStr">
        <is>
          <t>fort</t>
        </is>
      </c>
      <c r="H37" t="n">
        <v>390</v>
      </c>
      <c r="I37" t="n">
        <v>2</v>
      </c>
      <c r="J37" t="n">
        <v>0</v>
      </c>
      <c r="K37" t="n">
        <v>0</v>
      </c>
      <c r="L37" t="inlineStr">
        <is>
          <t>siege</t>
        </is>
      </c>
      <c r="M37" t="n">
        <v>11</v>
      </c>
      <c r="N37" t="n">
        <v>350</v>
      </c>
      <c r="P37" t="inlineStr">
        <is>
          <t>e01M</t>
        </is>
      </c>
      <c r="Q37" t="inlineStr">
        <is>
          <t>units\creeps\NerubianSpiderLord\NerubianSpiderLord.mdl</t>
        </is>
      </c>
      <c r="R37" t="inlineStr">
        <is>
          <t>Armour type PREDICTED by the period-5 cycle (7/7 on observed waves); not read in game.</t>
        </is>
      </c>
    </row>
    <row r="38">
      <c r="A38" t="n">
        <v>19</v>
      </c>
      <c r="B38" t="inlineStr">
        <is>
          <t>main</t>
        </is>
      </c>
      <c r="C38" t="inlineStr">
        <is>
          <t>Chilled Owls</t>
        </is>
      </c>
      <c r="D38" t="n">
        <v>4200</v>
      </c>
      <c r="E38" t="n">
        <v>9</v>
      </c>
      <c r="F38" t="inlineStr">
        <is>
          <t>small</t>
        </is>
      </c>
      <c r="G38" t="inlineStr">
        <is>
          <t>fly</t>
        </is>
      </c>
      <c r="H38" t="n">
        <v>330</v>
      </c>
      <c r="I38" t="n">
        <v>2</v>
      </c>
      <c r="J38" t="n">
        <v>0</v>
      </c>
      <c r="K38" t="n">
        <v>0</v>
      </c>
      <c r="L38" t="inlineStr">
        <is>
          <t>siege</t>
        </is>
      </c>
      <c r="M38" t="n">
        <v>649</v>
      </c>
      <c r="N38" t="n">
        <v>100</v>
      </c>
      <c r="P38" t="inlineStr">
        <is>
          <t>e00H</t>
        </is>
      </c>
      <c r="Q38" t="inlineStr">
        <is>
          <t>units\critters\SnowOwl\SnowOwl.mdl</t>
        </is>
      </c>
      <c r="R38" t="inlineStr">
        <is>
          <t>HP DROPS vs wave 18 while armour RISES. Smaller can still be harder. Armour type PREDICTED by the period-5 cycle (7/7 on observed waves); not read in game.</t>
        </is>
      </c>
    </row>
    <row r="39">
      <c r="A39" t="n">
        <v>19</v>
      </c>
      <c r="B39" t="inlineStr">
        <is>
          <t>a</t>
        </is>
      </c>
      <c r="C39" t="inlineStr">
        <is>
          <t>Ice Spirit</t>
        </is>
      </c>
      <c r="D39" t="n">
        <v>4800</v>
      </c>
      <c r="E39" t="n">
        <v>10</v>
      </c>
      <c r="F39" t="inlineStr">
        <is>
          <t>small</t>
        </is>
      </c>
      <c r="G39" t="inlineStr">
        <is>
          <t>fly</t>
        </is>
      </c>
      <c r="H39" t="n">
        <v>375</v>
      </c>
      <c r="I39" t="n">
        <v>2</v>
      </c>
      <c r="J39" t="n">
        <v>0</v>
      </c>
      <c r="K39" t="n">
        <v>0</v>
      </c>
      <c r="L39" t="inlineStr">
        <is>
          <t>siege</t>
        </is>
      </c>
      <c r="M39" t="n">
        <v>649</v>
      </c>
      <c r="N39" t="n">
        <v>100</v>
      </c>
      <c r="O39" t="inlineStr">
        <is>
          <t>Apsh</t>
        </is>
      </c>
      <c r="P39" t="inlineStr">
        <is>
          <t>e02B</t>
        </is>
      </c>
      <c r="Q39" t="inlineStr">
        <is>
          <t>units\creeps\RevenantOfTheWaves\RevenantOfTheWaves.mdl</t>
        </is>
      </c>
      <c r="R39" t="inlineStr">
        <is>
          <t>HP DROPS vs wave 18 while armour RISES. Smaller can still be harder. Armour type PREDICTED by the period-5 cycle (7/7 on observed waves); not read in game.</t>
        </is>
      </c>
    </row>
    <row r="40">
      <c r="A40" t="n">
        <v>20</v>
      </c>
      <c r="B40" t="inlineStr">
        <is>
          <t>main</t>
        </is>
      </c>
      <c r="C40" t="inlineStr">
        <is>
          <t>Turtle Juggernaut</t>
        </is>
      </c>
      <c r="D40" t="n">
        <v>6300</v>
      </c>
      <c r="E40" t="n">
        <v>9</v>
      </c>
      <c r="F40" t="inlineStr">
        <is>
          <t>hero</t>
        </is>
      </c>
      <c r="I40" t="n">
        <v>2</v>
      </c>
      <c r="J40" t="n">
        <v>0</v>
      </c>
      <c r="K40" t="n">
        <v>0</v>
      </c>
      <c r="L40" t="inlineStr">
        <is>
          <t>siege</t>
        </is>
      </c>
      <c r="M40" t="n">
        <v>799</v>
      </c>
      <c r="N40" t="n">
        <v>100</v>
      </c>
      <c r="P40" t="inlineStr">
        <is>
          <t>e00I</t>
        </is>
      </c>
      <c r="Q40" t="inlineStr">
        <is>
          <t>Units\Creeps\DragonSeaTurtle\DragonSeaTurtle.mdl</t>
        </is>
      </c>
      <c r="R40" t="inlineStr">
        <is>
          <t>OUT-OF-SAMPLE VALIDATION: two-phase model predicted 6291 vs 6300 observed (100.1%). Boss = 3.68x trunk. Armour type PREDICTED by the period-5 cycle (7/7 on observed waves); not read in game.</t>
        </is>
      </c>
    </row>
    <row r="41">
      <c r="A41" t="n">
        <v>20</v>
      </c>
      <c r="B41" t="inlineStr">
        <is>
          <t>a</t>
        </is>
      </c>
      <c r="C41" t="inlineStr">
        <is>
          <t>Supreme Tortoise</t>
        </is>
      </c>
      <c r="D41" t="n">
        <v>7230</v>
      </c>
      <c r="E41" t="n">
        <v>14</v>
      </c>
      <c r="F41" t="inlineStr">
        <is>
          <t>hero</t>
        </is>
      </c>
      <c r="I41" t="n">
        <v>2</v>
      </c>
      <c r="J41" t="n">
        <v>0</v>
      </c>
      <c r="K41" t="n">
        <v>0</v>
      </c>
      <c r="L41" t="inlineStr">
        <is>
          <t>siege</t>
        </is>
      </c>
      <c r="M41" t="n">
        <v>799</v>
      </c>
      <c r="N41" t="n">
        <v>100</v>
      </c>
      <c r="P41" t="inlineStr">
        <is>
          <t>e02H</t>
        </is>
      </c>
      <c r="Q41" t="inlineStr">
        <is>
          <t>Units\Creeps\DragonSeaTurtle\DragonSeaTurtle.mdl</t>
        </is>
      </c>
      <c r="R41" t="inlineStr">
        <is>
          <t>OUT-OF-SAMPLE VALIDATION: two-phase model predicted 6291 vs 6300 observed (100.1%). Boss = 3.68x trunk. Armour type PREDICTED by the period-5 cycle (7/7 on observed waves); not read in game.</t>
        </is>
      </c>
    </row>
    <row r="42">
      <c r="A42" t="n">
        <v>21</v>
      </c>
      <c r="B42" t="inlineStr">
        <is>
          <t>main</t>
        </is>
      </c>
      <c r="C42" t="inlineStr">
        <is>
          <t>Flame Ogre</t>
        </is>
      </c>
      <c r="D42" t="n">
        <v>11500</v>
      </c>
      <c r="E42" t="n">
        <v>10</v>
      </c>
      <c r="F42" t="inlineStr">
        <is>
          <t>medium</t>
        </is>
      </c>
      <c r="H42" t="n">
        <v>450</v>
      </c>
      <c r="I42" t="n">
        <v>5</v>
      </c>
      <c r="J42" t="n">
        <v>0</v>
      </c>
      <c r="K42" t="n">
        <v>0</v>
      </c>
      <c r="L42" t="inlineStr">
        <is>
          <t>siege</t>
        </is>
      </c>
      <c r="M42" t="n">
        <v>799</v>
      </c>
      <c r="N42" t="n">
        <v>100</v>
      </c>
      <c r="O42" t="inlineStr">
        <is>
          <t>A013</t>
        </is>
      </c>
      <c r="P42" t="inlineStr">
        <is>
          <t>e00J</t>
        </is>
      </c>
      <c r="Q42" t="inlineStr">
        <is>
          <t>units\creeps\OgreLord\OgreLord.mdl</t>
        </is>
      </c>
      <c r="R42" t="inlineStr">
        <is>
          <t>OVERSOUL, inferred: the owner's rule is that each oversoul pays DOUBLE and steps the baseline up by one. Wave 21 paid 6 and wave 23 settled at 3, which fits base 3 doubled. Composition not directly observed at this wave.</t>
        </is>
      </c>
    </row>
    <row r="43">
      <c r="A43" t="n">
        <v>21</v>
      </c>
      <c r="B43" t="inlineStr">
        <is>
          <t>a</t>
        </is>
      </c>
      <c r="C43" t="inlineStr">
        <is>
          <t>Fire Strider</t>
        </is>
      </c>
      <c r="D43" t="n">
        <v>13225</v>
      </c>
      <c r="E43" t="n">
        <v>15</v>
      </c>
      <c r="F43" t="inlineStr">
        <is>
          <t>medium</t>
        </is>
      </c>
      <c r="H43" t="n">
        <v>522</v>
      </c>
      <c r="I43" t="n">
        <v>5</v>
      </c>
      <c r="J43" t="n">
        <v>0</v>
      </c>
      <c r="K43" t="n">
        <v>0</v>
      </c>
      <c r="L43" t="inlineStr">
        <is>
          <t>siege</t>
        </is>
      </c>
      <c r="M43" t="n">
        <v>799</v>
      </c>
      <c r="N43" t="n">
        <v>100</v>
      </c>
      <c r="O43" t="inlineStr">
        <is>
          <t>A013</t>
        </is>
      </c>
      <c r="P43" t="inlineStr">
        <is>
          <t>e025</t>
        </is>
      </c>
      <c r="Q43" t="inlineStr">
        <is>
          <t>units\demon\FelgaurdBlue\FelgaurdBlue.mdl</t>
        </is>
      </c>
      <c r="R43" t="inlineStr">
        <is>
          <t>OVERSOUL, inferred: the owner's rule is that each oversoul pays DOUBLE and steps the baseline up by one. Wave 21 paid 6 and wave 23 settled at 3, which fits base 3 doubled. Composition not directly observed at this wave.</t>
        </is>
      </c>
    </row>
    <row r="44">
      <c r="A44" t="n">
        <v>22</v>
      </c>
      <c r="B44" t="inlineStr">
        <is>
          <t>main</t>
        </is>
      </c>
      <c r="C44" t="inlineStr">
        <is>
          <t>Master Assassin</t>
        </is>
      </c>
      <c r="D44" t="n">
        <v>8141</v>
      </c>
      <c r="E44" t="n">
        <v>10</v>
      </c>
      <c r="F44" t="inlineStr">
        <is>
          <t>large</t>
        </is>
      </c>
      <c r="H44" t="n">
        <v>522</v>
      </c>
      <c r="I44" t="n">
        <v>3</v>
      </c>
      <c r="J44" t="n">
        <v>0</v>
      </c>
      <c r="K44" t="n">
        <v>0</v>
      </c>
      <c r="L44" t="inlineStr">
        <is>
          <t>siege</t>
        </is>
      </c>
      <c r="M44" t="n">
        <v>799</v>
      </c>
      <c r="N44" t="n">
        <v>100</v>
      </c>
      <c r="P44" t="inlineStr">
        <is>
          <t>e00K</t>
        </is>
      </c>
      <c r="Q44" t="inlineStr">
        <is>
          <t>units\other\DranaiWhite\DranaiWhite.mdl</t>
        </is>
      </c>
      <c r="R44" t="inlineStr">
        <is>
          <t>OUT-OF-SAMPLE VALIDATION, 5 waves past the previous deepest run: the two-phase model predicted 8118 from the clean w17 anchor, observed 8141 = 100.3%. Armour type and value BOTH observed and both correct.</t>
        </is>
      </c>
    </row>
    <row r="45">
      <c r="A45" t="n">
        <v>22</v>
      </c>
      <c r="B45" t="inlineStr">
        <is>
          <t>a</t>
        </is>
      </c>
      <c r="C45" t="inlineStr">
        <is>
          <t>Shogun</t>
        </is>
      </c>
      <c r="D45" t="n">
        <v>9381</v>
      </c>
      <c r="E45" t="n">
        <v>15</v>
      </c>
      <c r="F45" t="inlineStr">
        <is>
          <t>large</t>
        </is>
      </c>
      <c r="H45" t="n">
        <v>320</v>
      </c>
      <c r="I45" t="n">
        <v>1</v>
      </c>
      <c r="J45" t="n">
        <v>0</v>
      </c>
      <c r="K45" t="n">
        <v>0</v>
      </c>
      <c r="L45" t="inlineStr">
        <is>
          <t>siege</t>
        </is>
      </c>
      <c r="M45" t="n">
        <v>799</v>
      </c>
      <c r="N45" t="n">
        <v>100</v>
      </c>
      <c r="P45" t="inlineStr">
        <is>
          <t>e02F</t>
        </is>
      </c>
      <c r="Q45" t="inlineStr">
        <is>
          <t>units\orc\HeroBladeMaster\HeroBladeMaster.mdl</t>
        </is>
      </c>
      <c r="R45" t="inlineStr">
        <is>
          <t>OUT-OF-SAMPLE VALIDATION, 5 waves past the previous deepest run: the two-phase model predicted 8118 from the clean w17 anchor, observed 8141 = 100.3%. Armour type and value BOTH observed and both correct.</t>
        </is>
      </c>
    </row>
    <row r="46">
      <c r="A46" t="n">
        <v>23</v>
      </c>
      <c r="B46" t="inlineStr">
        <is>
          <t>main</t>
        </is>
      </c>
      <c r="C46" t="inlineStr">
        <is>
          <t>Enraged Wendigo</t>
        </is>
      </c>
      <c r="D46" t="n">
        <v>9910</v>
      </c>
      <c r="E46" t="n">
        <v>11</v>
      </c>
      <c r="F46" t="inlineStr">
        <is>
          <t>fort</t>
        </is>
      </c>
      <c r="I46" t="n">
        <v>4</v>
      </c>
      <c r="J46" t="n">
        <v>0</v>
      </c>
      <c r="K46" t="n">
        <v>0</v>
      </c>
      <c r="L46" t="inlineStr">
        <is>
          <t>siege</t>
        </is>
      </c>
      <c r="M46" t="n">
        <v>12</v>
      </c>
      <c r="N46" t="n">
        <v>100</v>
      </c>
      <c r="P46" t="inlineStr">
        <is>
          <t>e00L</t>
        </is>
      </c>
      <c r="Q46" t="inlineStr">
        <is>
          <t>units\creeps\Wendigo\Wendigo.mdl</t>
        </is>
      </c>
      <c r="R46" t="inlineStr">
        <is>
          <t>Kill gold reads 3 - the new baseline after wave 21's oversoul stepped it up from 2. Not a fall from a spike. HP/armour both OBSERVED: the two-phase model predicted 9222 (7.5% under), armour value formula gives 11 (correct), cycle gives reforzada (correct, 23/23).</t>
        </is>
      </c>
    </row>
    <row r="47">
      <c r="A47" t="n">
        <v>23</v>
      </c>
      <c r="B47" t="inlineStr">
        <is>
          <t>a</t>
        </is>
      </c>
      <c r="C47" t="inlineStr">
        <is>
          <t>Feral Wendigo</t>
        </is>
      </c>
      <c r="D47" t="n">
        <v>11443</v>
      </c>
      <c r="E47" t="n">
        <v>16</v>
      </c>
      <c r="F47" t="inlineStr">
        <is>
          <t>fort</t>
        </is>
      </c>
      <c r="H47" t="n">
        <v>375</v>
      </c>
      <c r="I47" t="n">
        <v>4</v>
      </c>
      <c r="J47" t="n">
        <v>0</v>
      </c>
      <c r="K47" t="n">
        <v>0</v>
      </c>
      <c r="L47" t="inlineStr">
        <is>
          <t>siege</t>
        </is>
      </c>
      <c r="M47" t="n">
        <v>15</v>
      </c>
      <c r="N47" t="n">
        <v>100</v>
      </c>
      <c r="P47" t="inlineStr">
        <is>
          <t>e01N</t>
        </is>
      </c>
      <c r="Q47" t="inlineStr">
        <is>
          <t>units\creeps\WendigoShaman\WendigoShaman.mdl</t>
        </is>
      </c>
      <c r="R47" t="inlineStr">
        <is>
          <t>Kill gold reads 3 - the new baseline after wave 21's oversoul stepped it up from 2. Not a fall from a spike. HP/armour both OBSERVED: the two-phase model predicted 9222 (7.5% under), armour value formula gives 11 (correct), cycle gives reforzada (correct, 23/23).</t>
        </is>
      </c>
    </row>
    <row r="48">
      <c r="A48" t="n">
        <v>24</v>
      </c>
      <c r="B48" t="inlineStr">
        <is>
          <t>main</t>
        </is>
      </c>
      <c r="C48" t="inlineStr">
        <is>
          <t>Bonus Box II</t>
        </is>
      </c>
      <c r="D48" t="n">
        <v>6523</v>
      </c>
      <c r="E48" t="n">
        <v>11</v>
      </c>
      <c r="F48" t="inlineStr">
        <is>
          <t>small</t>
        </is>
      </c>
      <c r="G48" t="inlineStr">
        <is>
          <t>fly</t>
        </is>
      </c>
      <c r="H48" t="n">
        <v>355</v>
      </c>
      <c r="I48" t="n">
        <v>5</v>
      </c>
      <c r="J48" t="n">
        <v>0</v>
      </c>
      <c r="K48" t="n">
        <v>0</v>
      </c>
      <c r="L48" t="inlineStr">
        <is>
          <t>siege</t>
        </is>
      </c>
      <c r="M48" t="n">
        <v>799</v>
      </c>
      <c r="N48" t="n">
        <v>100</v>
      </c>
      <c r="P48" t="inlineStr">
        <is>
          <t>e00M</t>
        </is>
      </c>
      <c r="Q48" t="inlineStr">
        <is>
          <t>units\other\BloodElfWagon\BloodElfWagon.mdl</t>
        </is>
      </c>
    </row>
    <row r="49">
      <c r="A49" t="n">
        <v>24</v>
      </c>
      <c r="B49" t="inlineStr">
        <is>
          <t>a</t>
        </is>
      </c>
      <c r="C49" t="inlineStr">
        <is>
          <t>Bonus Seafood II</t>
        </is>
      </c>
      <c r="D49" t="n">
        <v>6725</v>
      </c>
      <c r="E49" t="n">
        <v>16</v>
      </c>
      <c r="F49" t="inlineStr">
        <is>
          <t>small</t>
        </is>
      </c>
      <c r="H49" t="n">
        <v>360</v>
      </c>
      <c r="I49" t="n">
        <v>5</v>
      </c>
      <c r="J49" t="n">
        <v>0</v>
      </c>
      <c r="K49" t="n">
        <v>0</v>
      </c>
      <c r="L49" t="inlineStr">
        <is>
          <t>siege</t>
        </is>
      </c>
      <c r="M49" t="n">
        <v>799</v>
      </c>
      <c r="N49" t="n">
        <v>100</v>
      </c>
      <c r="P49" t="inlineStr">
        <is>
          <t>e01P</t>
        </is>
      </c>
      <c r="Q49" t="inlineStr">
        <is>
          <t>units\critters\SpiderCrab\SpiderCrab.mdl</t>
        </is>
      </c>
    </row>
    <row r="50">
      <c r="A50" t="n">
        <v>25</v>
      </c>
      <c r="B50" t="inlineStr">
        <is>
          <t>main</t>
        </is>
      </c>
      <c r="C50" t="inlineStr">
        <is>
          <t>Divine Forger</t>
        </is>
      </c>
      <c r="D50" t="n">
        <v>10262</v>
      </c>
      <c r="E50" t="n">
        <v>12</v>
      </c>
      <c r="F50" t="inlineStr">
        <is>
          <t>hero</t>
        </is>
      </c>
      <c r="H50" t="n">
        <v>325</v>
      </c>
      <c r="I50" t="n">
        <v>3</v>
      </c>
      <c r="J50" t="n">
        <v>0</v>
      </c>
      <c r="K50" t="n">
        <v>0</v>
      </c>
      <c r="L50" t="inlineStr">
        <is>
          <t>siege</t>
        </is>
      </c>
      <c r="M50" t="n">
        <v>799</v>
      </c>
      <c r="N50" t="n">
        <v>100</v>
      </c>
      <c r="P50" t="inlineStr">
        <is>
          <t>e00N</t>
        </is>
      </c>
      <c r="Q50" t="inlineStr">
        <is>
          <t>units\creeps\GnollWarden\GnollWarden.mdl</t>
        </is>
      </c>
    </row>
    <row r="51">
      <c r="A51" t="n">
        <v>25</v>
      </c>
      <c r="B51" t="inlineStr">
        <is>
          <t>a</t>
        </is>
      </c>
      <c r="C51" t="inlineStr">
        <is>
          <t>Iconocutioner</t>
        </is>
      </c>
      <c r="D51" t="n">
        <v>10568</v>
      </c>
      <c r="E51" t="n">
        <v>13</v>
      </c>
      <c r="F51" t="inlineStr">
        <is>
          <t>hero</t>
        </is>
      </c>
      <c r="H51" t="n">
        <v>360</v>
      </c>
      <c r="I51" t="n">
        <v>3</v>
      </c>
      <c r="J51" t="n">
        <v>0</v>
      </c>
      <c r="K51" t="n">
        <v>0</v>
      </c>
      <c r="L51" t="inlineStr">
        <is>
          <t>siege</t>
        </is>
      </c>
      <c r="M51" t="n">
        <v>799</v>
      </c>
      <c r="N51" t="n">
        <v>100</v>
      </c>
      <c r="O51" t="inlineStr">
        <is>
          <t>A03A,ACev</t>
        </is>
      </c>
      <c r="P51" t="inlineStr">
        <is>
          <t>e02G</t>
        </is>
      </c>
      <c r="Q51" t="inlineStr">
        <is>
          <t>units\creeps\HumanBattleship\HumanBattleship.mdl</t>
        </is>
      </c>
    </row>
    <row r="52">
      <c r="A52" t="n">
        <v>25</v>
      </c>
      <c r="B52" t="inlineStr">
        <is>
          <t>b</t>
        </is>
      </c>
      <c r="C52" t="inlineStr">
        <is>
          <t>Great Protector</t>
        </is>
      </c>
      <c r="D52" t="n">
        <v>50000</v>
      </c>
      <c r="E52" t="n">
        <v>50</v>
      </c>
      <c r="F52" t="inlineStr">
        <is>
          <t>hero</t>
        </is>
      </c>
      <c r="I52" t="n">
        <v>0</v>
      </c>
      <c r="J52" t="n">
        <v>0</v>
      </c>
      <c r="K52" t="n">
        <v>0</v>
      </c>
      <c r="L52" t="inlineStr">
        <is>
          <t>siege</t>
        </is>
      </c>
      <c r="M52" t="n">
        <v>799</v>
      </c>
      <c r="N52" t="n">
        <v>100</v>
      </c>
      <c r="P52" t="inlineStr">
        <is>
          <t>e02R</t>
        </is>
      </c>
      <c r="Q52" t="inlineStr">
        <is>
          <t>units\orc\StasisTotem\StasisTotem.mdl</t>
        </is>
      </c>
    </row>
    <row r="53">
      <c r="A53" t="n">
        <v>26</v>
      </c>
      <c r="B53" t="inlineStr">
        <is>
          <t>main</t>
        </is>
      </c>
      <c r="C53" t="inlineStr">
        <is>
          <t>Brood Lizard</t>
        </is>
      </c>
      <c r="D53" t="n">
        <v>4865</v>
      </c>
      <c r="E53" t="n">
        <v>12</v>
      </c>
      <c r="F53" t="inlineStr">
        <is>
          <t>medium</t>
        </is>
      </c>
      <c r="H53" t="n">
        <v>370</v>
      </c>
      <c r="I53" t="n">
        <v>2</v>
      </c>
      <c r="J53" t="n">
        <v>0</v>
      </c>
      <c r="K53" t="n">
        <v>0</v>
      </c>
      <c r="L53" t="inlineStr">
        <is>
          <t>siege</t>
        </is>
      </c>
      <c r="M53" t="n">
        <v>799</v>
      </c>
      <c r="N53" t="n">
        <v>100</v>
      </c>
      <c r="P53" t="inlineStr">
        <is>
          <t>e00O</t>
        </is>
      </c>
      <c r="Q53" t="inlineStr">
        <is>
          <t>units\creeps\ThunderLizardSalamander\ThunderLizardSalamander.mdl</t>
        </is>
      </c>
      <c r="R53" t="inlineStr">
        <is>
          <t>⚠️ ANOMALY - almost certainly NOT the trunk unit. The model predicts 13520 and this is 36% of it, while wave 22 came in at 100.3%, so the curve cannot have broken this fast. This is a "flame, shedder" wave and mixed waves carry several unit types with different HP - wave 14 (also shedder) had the owner record TWO figures, 2400 air and 3250 non-air. So 4865 is likely ONE unit type among several. WHICH one is unknown. EXCLUDED from any curve fitting. Armour value 12 and type media both OBSERVED and both correct.</t>
        </is>
      </c>
    </row>
    <row r="54">
      <c r="A54" t="n">
        <v>26</v>
      </c>
      <c r="B54" t="inlineStr">
        <is>
          <t>a</t>
        </is>
      </c>
      <c r="C54" t="inlineStr">
        <is>
          <t>Frenzied Lizard</t>
        </is>
      </c>
      <c r="D54" t="n">
        <v>4746</v>
      </c>
      <c r="E54" t="n">
        <v>13</v>
      </c>
      <c r="F54" t="inlineStr">
        <is>
          <t>medium</t>
        </is>
      </c>
      <c r="H54" t="n">
        <v>500</v>
      </c>
      <c r="I54" t="n">
        <v>2</v>
      </c>
      <c r="J54" t="n">
        <v>0</v>
      </c>
      <c r="K54" t="n">
        <v>0</v>
      </c>
      <c r="L54" t="inlineStr">
        <is>
          <t>siege</t>
        </is>
      </c>
      <c r="M54" t="n">
        <v>799</v>
      </c>
      <c r="N54" t="n">
        <v>100</v>
      </c>
      <c r="O54" t="inlineStr">
        <is>
          <t>A013</t>
        </is>
      </c>
      <c r="P54" t="inlineStr">
        <is>
          <t>e01O</t>
        </is>
      </c>
      <c r="Q54" t="inlineStr">
        <is>
          <t>units\creeps\ThunderLizardVizier\ThunderLizardVizier.mdl</t>
        </is>
      </c>
      <c r="R54" t="inlineStr">
        <is>
          <t>⚠️ ANOMALY - almost certainly NOT the trunk unit. The model predicts 13520 and this is 36% of it, while wave 22 came in at 100.3%, so the curve cannot have broken this fast. This is a "flame, shedder" wave and mixed waves carry several unit types with different HP - wave 14 (also shedder) had the owner record TWO figures, 2400 air and 3250 non-air. So 4865 is likely ONE unit type among several. WHICH one is unknown. EXCLUDED from any curve fitting. Armour value 12 and type media both OBSERVED and both correct.</t>
        </is>
      </c>
    </row>
    <row r="55">
      <c r="A55" t="n">
        <v>26</v>
      </c>
      <c r="B55" t="inlineStr">
        <is>
          <t>b</t>
        </is>
      </c>
      <c r="C55" t="inlineStr">
        <is>
          <t>King Lizard</t>
        </is>
      </c>
      <c r="D55" t="n">
        <v>13500</v>
      </c>
      <c r="E55" t="n">
        <v>13</v>
      </c>
      <c r="F55" t="inlineStr">
        <is>
          <t>medium</t>
        </is>
      </c>
      <c r="H55" t="n">
        <v>250</v>
      </c>
      <c r="I55" t="n">
        <v>1</v>
      </c>
      <c r="J55" t="n">
        <v>0</v>
      </c>
      <c r="K55" t="n">
        <v>0</v>
      </c>
      <c r="L55" t="inlineStr">
        <is>
          <t>siege</t>
        </is>
      </c>
      <c r="M55" t="n">
        <v>799</v>
      </c>
      <c r="N55" t="n">
        <v>100</v>
      </c>
      <c r="O55" t="inlineStr">
        <is>
          <t>ACrn,SCae</t>
        </is>
      </c>
      <c r="P55" t="inlineStr">
        <is>
          <t>e02I</t>
        </is>
      </c>
      <c r="Q55" t="inlineStr">
        <is>
          <t>units\creeps\ThunderLizardVizier\ThunderLizardVizier.mdl</t>
        </is>
      </c>
      <c r="R55" t="inlineStr">
        <is>
          <t>⚠️ ANOMALY - almost certainly NOT the trunk unit. The model predicts 13520 and this is 36% of it, while wave 22 came in at 100.3%, so the curve cannot have broken this fast. This is a "flame, shedder" wave and mixed waves carry several unit types with different HP - wave 14 (also shedder) had the owner record TWO figures, 2400 air and 3250 non-air. So 4865 is likely ONE unit type among several. WHICH one is unknown. EXCLUDED from any curve fitting. Armour value 12 and type media both OBSERVED and both correct.</t>
        </is>
      </c>
    </row>
    <row r="56">
      <c r="A56" t="n">
        <v>27</v>
      </c>
      <c r="B56" t="inlineStr">
        <is>
          <t>main</t>
        </is>
      </c>
      <c r="C56" t="inlineStr">
        <is>
          <t>Sporadic Asp</t>
        </is>
      </c>
      <c r="D56" t="n">
        <v>11868</v>
      </c>
      <c r="E56" t="n">
        <v>13</v>
      </c>
      <c r="F56" t="inlineStr">
        <is>
          <t>large</t>
        </is>
      </c>
      <c r="H56" t="n">
        <v>375</v>
      </c>
      <c r="I56" t="n">
        <v>4</v>
      </c>
      <c r="J56" t="n">
        <v>0</v>
      </c>
      <c r="K56" t="n">
        <v>0</v>
      </c>
      <c r="L56" t="inlineStr">
        <is>
          <t>siege</t>
        </is>
      </c>
      <c r="M56" t="n">
        <v>799</v>
      </c>
      <c r="N56" t="n">
        <v>100</v>
      </c>
      <c r="P56" t="inlineStr">
        <is>
          <t>e00P</t>
        </is>
      </c>
      <c r="Q56" t="inlineStr">
        <is>
          <t>units\critters\DuneWorm\DuneWorm.mdl</t>
        </is>
      </c>
      <c r="R56" t="inlineStr">
        <is>
          <t>MAX FOOD RISES TO 4 (owner), ceiling 5 - so the food cap is itself wave-gated. Armour value 13 and type pesada both OBSERVED and correct (27/27). HP is 77% of the model projected from wave 22, implying 7.8%/wave over that span against the model 13.6% - but this is a "death's rage" wave, so not a clean trunk reading.</t>
        </is>
      </c>
    </row>
    <row r="57">
      <c r="A57" t="n">
        <v>27</v>
      </c>
      <c r="B57" t="inlineStr">
        <is>
          <t>a</t>
        </is>
      </c>
      <c r="C57" t="inlineStr">
        <is>
          <t>Sayonara Mecha</t>
        </is>
      </c>
      <c r="D57" t="n">
        <v>13818</v>
      </c>
      <c r="E57" t="n">
        <v>18</v>
      </c>
      <c r="F57" t="inlineStr">
        <is>
          <t>large</t>
        </is>
      </c>
      <c r="H57" t="n">
        <v>345</v>
      </c>
      <c r="I57" t="n">
        <v>4</v>
      </c>
      <c r="J57" t="n">
        <v>0</v>
      </c>
      <c r="K57" t="n">
        <v>0</v>
      </c>
      <c r="L57" t="inlineStr">
        <is>
          <t>siege</t>
        </is>
      </c>
      <c r="M57" t="n">
        <v>799</v>
      </c>
      <c r="N57" t="n">
        <v>100</v>
      </c>
      <c r="P57" t="inlineStr">
        <is>
          <t>e02M</t>
        </is>
      </c>
      <c r="Q57" t="inlineStr">
        <is>
          <t>Units\Creeps\HeroTinker\HeroTinker.mdl</t>
        </is>
      </c>
      <c r="R57" t="inlineStr">
        <is>
          <t>MAX FOOD RISES TO 4 (owner), ceiling 5 - so the food cap is itself wave-gated. Armour value 13 and type pesada both OBSERVED and correct (27/27). HP is 77% of the model projected from wave 22, implying 7.8%/wave over that span against the model 13.6% - but this is a "death's rage" wave, so not a clean trunk reading.</t>
        </is>
      </c>
    </row>
    <row r="58">
      <c r="A58" t="n">
        <v>28</v>
      </c>
      <c r="B58" t="inlineStr">
        <is>
          <t>main</t>
        </is>
      </c>
      <c r="C58" t="inlineStr">
        <is>
          <t>Demised Spirit</t>
        </is>
      </c>
      <c r="D58" t="n">
        <v>12542</v>
      </c>
      <c r="E58" t="n">
        <v>7</v>
      </c>
      <c r="F58" t="inlineStr">
        <is>
          <t>fort</t>
        </is>
      </c>
      <c r="H58" t="n">
        <v>380</v>
      </c>
      <c r="I58" t="n">
        <v>4</v>
      </c>
      <c r="J58" t="n">
        <v>0</v>
      </c>
      <c r="K58" t="n">
        <v>0</v>
      </c>
      <c r="L58" t="inlineStr">
        <is>
          <t>siege</t>
        </is>
      </c>
      <c r="M58" t="n">
        <v>799</v>
      </c>
      <c r="N58" t="n">
        <v>100</v>
      </c>
      <c r="P58" t="inlineStr">
        <is>
          <t>e00Q</t>
        </is>
      </c>
      <c r="Q58" t="inlineStr">
        <is>
          <t>units\creeps\VoidWalker\VoidWalker.mdl</t>
        </is>
      </c>
      <c r="R58" t="inlineStr">
        <is>
          <t>⚠️ MODIFIER-CAUSED ARMOUR DIP (resolved at wave 29, where the formula resumes correctly): floor((28-1)/2) gives 13, observed 7. And it DROPPED from wave 27's 13, rather than failing to rise. Wave 28 is "valor of the dead", so either that modifier lowers armour or this is a different unit type. The armour TYPE cycle is unaffected and still correct at 28/28. HP is 72% of the model projected from wave 22 - the third of the last four readings in the 72-77% band, which is starting to look like a third slower phase rather than modifier noise.</t>
        </is>
      </c>
    </row>
    <row r="59">
      <c r="A59" t="n">
        <v>28</v>
      </c>
      <c r="B59" t="inlineStr">
        <is>
          <t>a</t>
        </is>
      </c>
      <c r="C59" t="inlineStr">
        <is>
          <t>Ethereal Wraith</t>
        </is>
      </c>
      <c r="D59" t="n">
        <v>14632</v>
      </c>
      <c r="E59" t="n">
        <v>14</v>
      </c>
      <c r="F59" t="inlineStr">
        <is>
          <t>fort</t>
        </is>
      </c>
      <c r="H59" t="n">
        <v>380</v>
      </c>
      <c r="I59" t="n">
        <v>4</v>
      </c>
      <c r="J59" t="n">
        <v>0</v>
      </c>
      <c r="K59" t="n">
        <v>0</v>
      </c>
      <c r="L59" t="inlineStr">
        <is>
          <t>siege</t>
        </is>
      </c>
      <c r="M59" t="n">
        <v>18</v>
      </c>
      <c r="O59" t="inlineStr">
        <is>
          <t>ACev</t>
        </is>
      </c>
      <c r="P59" t="inlineStr">
        <is>
          <t>e01R</t>
        </is>
      </c>
      <c r="Q59" t="inlineStr">
        <is>
          <t>units\creeps\VoidWalker\VoidWalker.mdl</t>
        </is>
      </c>
      <c r="R59" t="inlineStr">
        <is>
          <t>⚠️ MODIFIER-CAUSED ARMOUR DIP (resolved at wave 29, where the formula resumes correctly): floor((28-1)/2) gives 13, observed 7. And it DROPPED from wave 27's 13, rather than failing to rise. Wave 28 is "valor of the dead", so either that modifier lowers armour or this is a different unit type. The armour TYPE cycle is unaffected and still correct at 28/28. HP is 72% of the model projected from wave 22 - the third of the last four readings in the 72-77% band, which is starting to look like a third slower phase rather than modifier noise.</t>
        </is>
      </c>
    </row>
    <row r="60">
      <c r="A60" t="n">
        <v>29</v>
      </c>
      <c r="B60" t="inlineStr">
        <is>
          <t>main</t>
        </is>
      </c>
      <c r="C60" t="inlineStr">
        <is>
          <t>Deformed Witches</t>
        </is>
      </c>
      <c r="D60" t="n">
        <v>9429</v>
      </c>
      <c r="E60" t="n">
        <v>14</v>
      </c>
      <c r="F60" t="inlineStr">
        <is>
          <t>small</t>
        </is>
      </c>
      <c r="G60" t="inlineStr">
        <is>
          <t>fly</t>
        </is>
      </c>
      <c r="H60" t="n">
        <v>385</v>
      </c>
      <c r="I60" t="n">
        <v>4</v>
      </c>
      <c r="J60" t="n">
        <v>0</v>
      </c>
      <c r="K60" t="n">
        <v>0</v>
      </c>
      <c r="L60" t="inlineStr">
        <is>
          <t>siege</t>
        </is>
      </c>
      <c r="M60" t="n">
        <v>799</v>
      </c>
      <c r="N60" t="n">
        <v>100</v>
      </c>
      <c r="P60" t="inlineStr">
        <is>
          <t>e00R</t>
        </is>
      </c>
      <c r="Q60" t="inlineStr">
        <is>
          <t>units\creeps\HarpyQueen\HarpyQueen.mdl</t>
        </is>
      </c>
      <c r="R60" t="inlineStr">
        <is>
          <t>ARMOUR VALUE FORMULA RESUMES: floor(28/2)=14, observed 14. So wave 28's 7 was the "valor of the dead" modifier, not a broken rule - the formula is intact except for that one modifier-caused miss. Armour type not read; the cycle and the air schedule both predict ligera. HP: this is an air wave (~76% of trunk), and the observation fits the SLOWER 7.5% rate within 8% while the 13.6% model is 12% off - another point for a third, slower phase, this time on a wave whose discount is independently established.</t>
        </is>
      </c>
    </row>
    <row r="61">
      <c r="A61" t="n">
        <v>29</v>
      </c>
      <c r="B61" t="inlineStr">
        <is>
          <t>a</t>
        </is>
      </c>
      <c r="C61" t="inlineStr">
        <is>
          <t>Dragon Immortal</t>
        </is>
      </c>
      <c r="D61" t="n">
        <v>11023</v>
      </c>
      <c r="E61" t="n">
        <v>15</v>
      </c>
      <c r="F61" t="inlineStr">
        <is>
          <t>small</t>
        </is>
      </c>
      <c r="G61" t="inlineStr">
        <is>
          <t>fly</t>
        </is>
      </c>
      <c r="H61" t="n">
        <v>385</v>
      </c>
      <c r="I61" t="n">
        <v>4</v>
      </c>
      <c r="J61" t="n">
        <v>0</v>
      </c>
      <c r="K61" t="n">
        <v>0</v>
      </c>
      <c r="L61" t="inlineStr">
        <is>
          <t>siege</t>
        </is>
      </c>
      <c r="M61" t="n">
        <v>799</v>
      </c>
      <c r="N61" t="n">
        <v>100</v>
      </c>
      <c r="O61" t="inlineStr">
        <is>
          <t>Aegr</t>
        </is>
      </c>
      <c r="P61" t="inlineStr">
        <is>
          <t>e02C</t>
        </is>
      </c>
      <c r="Q61" t="inlineStr">
        <is>
          <t>units\creeps\AzureDragon\AzureDragon.mdl</t>
        </is>
      </c>
      <c r="R61" t="inlineStr">
        <is>
          <t>ARMOUR VALUE FORMULA RESUMES: floor(28/2)=14, observed 14. So wave 28's 7 was the "valor of the dead" modifier, not a broken rule - the formula is intact except for that one modifier-caused miss. Armour type not read; the cycle and the air schedule both predict ligera. HP: this is an air wave (~76% of trunk), and the observation fits the SLOWER 7.5% rate within 8% while the 13.6% model is 12% off - another point for a third, slower phase, this time on a wave whose discount is independently established.</t>
        </is>
      </c>
    </row>
    <row r="62">
      <c r="A62" t="n">
        <v>30</v>
      </c>
      <c r="B62" t="inlineStr">
        <is>
          <t>main</t>
        </is>
      </c>
      <c r="C62" t="inlineStr">
        <is>
          <t>Dog of War</t>
        </is>
      </c>
      <c r="D62" t="n">
        <v>11848</v>
      </c>
      <c r="E62" t="n">
        <v>14</v>
      </c>
      <c r="F62" t="inlineStr">
        <is>
          <t>hero</t>
        </is>
      </c>
      <c r="H62" t="n">
        <v>390</v>
      </c>
      <c r="I62" t="n">
        <v>4</v>
      </c>
      <c r="J62" t="n">
        <v>0</v>
      </c>
      <c r="K62" t="n">
        <v>0</v>
      </c>
      <c r="L62" t="inlineStr">
        <is>
          <t>siege</t>
        </is>
      </c>
      <c r="M62" t="n">
        <v>799</v>
      </c>
      <c r="N62" t="n">
        <v>100</v>
      </c>
      <c r="P62" t="inlineStr">
        <is>
          <t>e00S</t>
        </is>
      </c>
      <c r="Q62" t="inlineStr">
        <is>
          <t>units\orc\Spiritwolf\Spiritwolf.mdl</t>
        </is>
      </c>
      <c r="R62" t="inlineStr">
        <is>
          <t>Armour value 14 and type hero both OBSERVED and correct (30/30 on the cycle). Boss 47625 = 4.02x the same-wave regular unit, consistent with the ~4x ratio seen at waves 5/10/15/20.</t>
        </is>
      </c>
    </row>
    <row r="63">
      <c r="A63" t="n">
        <v>30</v>
      </c>
      <c r="B63" t="inlineStr">
        <is>
          <t>a</t>
        </is>
      </c>
      <c r="C63" t="inlineStr">
        <is>
          <t>Shadow Wolf</t>
        </is>
      </c>
      <c r="D63" t="n">
        <v>13879</v>
      </c>
      <c r="E63" t="n">
        <v>15</v>
      </c>
      <c r="F63" t="inlineStr">
        <is>
          <t>hero</t>
        </is>
      </c>
      <c r="H63" t="n">
        <v>260</v>
      </c>
      <c r="I63" t="n">
        <v>4</v>
      </c>
      <c r="J63" t="n">
        <v>0</v>
      </c>
      <c r="K63" t="n">
        <v>0</v>
      </c>
      <c r="L63" t="inlineStr">
        <is>
          <t>siege</t>
        </is>
      </c>
      <c r="M63" t="n">
        <v>799</v>
      </c>
      <c r="N63" t="n">
        <v>100</v>
      </c>
      <c r="P63" t="inlineStr">
        <is>
          <t>e02N</t>
        </is>
      </c>
      <c r="Q63" t="inlineStr">
        <is>
          <t>units\creeps\DireWolf\DireWolf.mdl</t>
        </is>
      </c>
      <c r="R63" t="inlineStr">
        <is>
          <t>Armour value 14 and type hero both OBSERVED and correct (30/30 on the cycle). Boss 47625 = 4.02x the same-wave regular unit, consistent with the ~4x ratio seen at waves 5/10/15/20.</t>
        </is>
      </c>
    </row>
    <row r="64">
      <c r="A64" t="n">
        <v>31</v>
      </c>
      <c r="B64" t="inlineStr">
        <is>
          <t>main</t>
        </is>
      </c>
      <c r="C64" t="inlineStr">
        <is>
          <t>Hellfire Bug</t>
        </is>
      </c>
      <c r="D64" t="n">
        <v>12605</v>
      </c>
      <c r="E64" t="n">
        <v>15</v>
      </c>
      <c r="F64" t="inlineStr">
        <is>
          <t>medium</t>
        </is>
      </c>
      <c r="H64" t="n">
        <v>420</v>
      </c>
      <c r="I64" t="n">
        <v>3</v>
      </c>
      <c r="J64" t="n">
        <v>0</v>
      </c>
      <c r="K64" t="n">
        <v>0</v>
      </c>
      <c r="L64" t="inlineStr">
        <is>
          <t>siege</t>
        </is>
      </c>
      <c r="M64" t="n">
        <v>799</v>
      </c>
      <c r="N64" t="n">
        <v>100</v>
      </c>
      <c r="O64" t="inlineStr">
        <is>
          <t>A013</t>
        </is>
      </c>
      <c r="P64" t="inlineStr">
        <is>
          <t>e00X</t>
        </is>
      </c>
      <c r="Q64" t="inlineStr">
        <is>
          <t>units\undead\scarab\scarab.mdl</t>
        </is>
      </c>
    </row>
    <row r="65">
      <c r="A65" t="n">
        <v>31</v>
      </c>
      <c r="B65" t="inlineStr">
        <is>
          <t>a</t>
        </is>
      </c>
      <c r="C65" t="inlineStr">
        <is>
          <t>Fire Ant</t>
        </is>
      </c>
      <c r="D65" t="n">
        <v>14796</v>
      </c>
      <c r="E65" t="n">
        <v>16</v>
      </c>
      <c r="F65" t="inlineStr">
        <is>
          <t>medium</t>
        </is>
      </c>
      <c r="H65" t="n">
        <v>420</v>
      </c>
      <c r="I65" t="n">
        <v>5</v>
      </c>
      <c r="J65" t="n">
        <v>0</v>
      </c>
      <c r="K65" t="n">
        <v>0</v>
      </c>
      <c r="L65" t="inlineStr">
        <is>
          <t>siege</t>
        </is>
      </c>
      <c r="M65" t="n">
        <v>799</v>
      </c>
      <c r="N65" t="n">
        <v>100</v>
      </c>
      <c r="O65" t="inlineStr">
        <is>
          <t>A013</t>
        </is>
      </c>
      <c r="P65" t="inlineStr">
        <is>
          <t>e026</t>
        </is>
      </c>
      <c r="Q65" t="inlineStr">
        <is>
          <t>Units\Critters\zergling\zergling.mdl</t>
        </is>
      </c>
    </row>
    <row r="66">
      <c r="A66" t="n">
        <v>32</v>
      </c>
      <c r="B66" t="inlineStr">
        <is>
          <t>main</t>
        </is>
      </c>
      <c r="C66" t="inlineStr">
        <is>
          <t>Sacrificial Chosen</t>
        </is>
      </c>
      <c r="D66" t="n">
        <v>9853</v>
      </c>
      <c r="E66" t="n">
        <v>15</v>
      </c>
      <c r="F66" t="inlineStr">
        <is>
          <t>large</t>
        </is>
      </c>
      <c r="H66" t="n">
        <v>400</v>
      </c>
      <c r="I66" t="n">
        <v>5</v>
      </c>
      <c r="J66" t="n">
        <v>0</v>
      </c>
      <c r="K66" t="n">
        <v>0</v>
      </c>
      <c r="L66" t="inlineStr">
        <is>
          <t>siege</t>
        </is>
      </c>
      <c r="M66" t="n">
        <v>16</v>
      </c>
      <c r="N66" t="n">
        <v>100</v>
      </c>
      <c r="O66" t="inlineStr">
        <is>
          <t>ACrn</t>
        </is>
      </c>
      <c r="P66" t="inlineStr">
        <is>
          <t>e00W</t>
        </is>
      </c>
      <c r="Q66" t="inlineStr">
        <is>
          <t>units\nightelf\HeroKeeperoftheGroveGhost\HeroKeeperoftheGroveGhost.mdl</t>
        </is>
      </c>
    </row>
    <row r="67">
      <c r="A67" t="n">
        <v>32</v>
      </c>
      <c r="B67" t="inlineStr">
        <is>
          <t>a</t>
        </is>
      </c>
      <c r="C67" t="inlineStr">
        <is>
          <t>Elite Evil</t>
        </is>
      </c>
      <c r="D67" t="n">
        <v>2500</v>
      </c>
      <c r="E67" t="n">
        <v>16</v>
      </c>
      <c r="F67" t="inlineStr">
        <is>
          <t>large</t>
        </is>
      </c>
      <c r="H67" t="n">
        <v>200</v>
      </c>
      <c r="I67" t="n">
        <v>5</v>
      </c>
      <c r="J67" t="n">
        <v>0</v>
      </c>
      <c r="K67" t="n">
        <v>0</v>
      </c>
      <c r="L67" t="inlineStr">
        <is>
          <t>siege</t>
        </is>
      </c>
      <c r="M67" t="n">
        <v>18</v>
      </c>
      <c r="N67" t="n">
        <v>100</v>
      </c>
      <c r="O67" t="inlineStr">
        <is>
          <t>ACmf</t>
        </is>
      </c>
      <c r="P67" t="inlineStr">
        <is>
          <t>e02O</t>
        </is>
      </c>
      <c r="Q67" t="inlineStr">
        <is>
          <t>units\undead\HeroLich\HeroLich_V1.mdl</t>
        </is>
      </c>
    </row>
    <row r="68">
      <c r="A68" t="n">
        <v>33</v>
      </c>
      <c r="B68" t="inlineStr">
        <is>
          <t>main</t>
        </is>
      </c>
      <c r="C68" t="inlineStr">
        <is>
          <t>Hangman's Oak</t>
        </is>
      </c>
      <c r="D68" t="n">
        <v>35842</v>
      </c>
      <c r="E68" t="n">
        <v>16</v>
      </c>
      <c r="F68" t="inlineStr">
        <is>
          <t>fort</t>
        </is>
      </c>
      <c r="H68" t="n">
        <v>485</v>
      </c>
      <c r="I68" t="n">
        <v>10</v>
      </c>
      <c r="J68" t="n">
        <v>0</v>
      </c>
      <c r="K68" t="n">
        <v>0</v>
      </c>
      <c r="L68" t="inlineStr">
        <is>
          <t>siege</t>
        </is>
      </c>
      <c r="M68" t="n">
        <v>799</v>
      </c>
      <c r="N68" t="n">
        <v>100</v>
      </c>
      <c r="P68" t="inlineStr">
        <is>
          <t>e00V</t>
        </is>
      </c>
      <c r="Q68" t="inlineStr">
        <is>
          <t>buildings\demon\CorruptedTreeofLife\CorruptedTreeofLife.mdl</t>
        </is>
      </c>
      <c r="R68" t="inlineStr">
        <is>
          <t>OVERSOUL - and this wave QUANTIFIES the modifier for the first time. HP is 3.03x wave 30 in three waves, which no trunk rate explains. Against a projected trunk it is a 1.5-2.0x multiplier depending on the rate assumed; the earlier oversoul at wave 12 read 1.62x. So oversoul is roughly a 1.6-2.0x HP multiplier ON TOP of doubling kill gold and stepping the gold baseline - one authored beat doing three jobs. NOT usable as evidence about the trunk rate, being the most heavily modified wave type. Armour value 16 and type reforzada both OBSERVED and correct (33/33).</t>
        </is>
      </c>
    </row>
    <row r="69">
      <c r="A69" t="n">
        <v>33</v>
      </c>
      <c r="B69" t="inlineStr">
        <is>
          <t>a</t>
        </is>
      </c>
      <c r="C69" t="inlineStr">
        <is>
          <t>Tree of Ill Omen</t>
        </is>
      </c>
      <c r="D69" t="n">
        <v>63579</v>
      </c>
      <c r="E69" t="n">
        <v>17</v>
      </c>
      <c r="F69" t="inlineStr">
        <is>
          <t>fort</t>
        </is>
      </c>
      <c r="H69" t="n">
        <v>522</v>
      </c>
      <c r="I69" t="n">
        <v>15</v>
      </c>
      <c r="J69" t="n">
        <v>0</v>
      </c>
      <c r="K69" t="n">
        <v>0</v>
      </c>
      <c r="L69" t="inlineStr">
        <is>
          <t>siege</t>
        </is>
      </c>
      <c r="M69" t="n">
        <v>799</v>
      </c>
      <c r="N69" t="n">
        <v>100</v>
      </c>
      <c r="O69" t="inlineStr">
        <is>
          <t>Aap4</t>
        </is>
      </c>
      <c r="P69" t="inlineStr">
        <is>
          <t>e02P</t>
        </is>
      </c>
      <c r="Q69" t="inlineStr">
        <is>
          <t>buildings\demon\CorruptedAncientProtector\CorruptedAncientProtector.mdl</t>
        </is>
      </c>
      <c r="R69" t="inlineStr">
        <is>
          <t>OVERSOUL - and this wave QUANTIFIES the modifier for the first time. HP is 3.03x wave 30 in three waves, which no trunk rate explains. Against a projected trunk it is a 1.5-2.0x multiplier depending on the rate assumed; the earlier oversoul at wave 12 read 1.62x. So oversoul is roughly a 1.6-2.0x HP multiplier ON TOP of doubling kill gold and stepping the gold baseline - one authored beat doing three jobs. NOT usable as evidence about the trunk rate, being the most heavily modified wave type. Armour value 16 and type reforzada both OBSERVED and correct (33/33).</t>
        </is>
      </c>
    </row>
    <row r="70">
      <c r="A70" t="n">
        <v>34</v>
      </c>
      <c r="B70" t="inlineStr">
        <is>
          <t>main</t>
        </is>
      </c>
      <c r="C70" t="inlineStr">
        <is>
          <t>Animated Sphinx</t>
        </is>
      </c>
      <c r="D70" t="n">
        <v>12013</v>
      </c>
      <c r="E70" t="n">
        <v>16</v>
      </c>
      <c r="F70" t="inlineStr">
        <is>
          <t>small</t>
        </is>
      </c>
      <c r="G70" t="inlineStr">
        <is>
          <t>fly</t>
        </is>
      </c>
      <c r="H70" t="n">
        <v>400</v>
      </c>
      <c r="I70" t="n">
        <v>5</v>
      </c>
      <c r="J70" t="n">
        <v>0</v>
      </c>
      <c r="K70" t="n">
        <v>0</v>
      </c>
      <c r="L70" t="inlineStr">
        <is>
          <t>siege</t>
        </is>
      </c>
      <c r="M70" t="n">
        <v>799</v>
      </c>
      <c r="N70" t="n">
        <v>100</v>
      </c>
      <c r="P70" t="inlineStr">
        <is>
          <t>e00U</t>
        </is>
      </c>
      <c r="Q70" t="inlineStr">
        <is>
          <t>units\undead\ObsidianStatue\ObsidianStatue.mdl</t>
        </is>
      </c>
    </row>
    <row r="71">
      <c r="A71" t="n">
        <v>34</v>
      </c>
      <c r="B71" t="inlineStr">
        <is>
          <t>a</t>
        </is>
      </c>
      <c r="C71" t="inlineStr">
        <is>
          <t>Rydik's Statue</t>
        </is>
      </c>
      <c r="D71" t="n">
        <v>23456</v>
      </c>
      <c r="E71" t="n">
        <v>17</v>
      </c>
      <c r="F71" t="inlineStr">
        <is>
          <t>small</t>
        </is>
      </c>
      <c r="G71" t="inlineStr">
        <is>
          <t>fly</t>
        </is>
      </c>
      <c r="H71" t="n">
        <v>175</v>
      </c>
      <c r="I71" t="n">
        <v>2</v>
      </c>
      <c r="J71" t="n">
        <v>0</v>
      </c>
      <c r="K71" t="n">
        <v>0</v>
      </c>
      <c r="L71" t="inlineStr">
        <is>
          <t>siege</t>
        </is>
      </c>
      <c r="M71" t="n">
        <v>799</v>
      </c>
      <c r="N71" t="n">
        <v>100</v>
      </c>
      <c r="P71" t="inlineStr">
        <is>
          <t>e01U</t>
        </is>
      </c>
      <c r="Q71" t="inlineStr">
        <is>
          <t>units\undead\ObsidianStatue\ObsidianStatue.mdl</t>
        </is>
      </c>
    </row>
    <row r="72">
      <c r="A72" t="n">
        <v>35</v>
      </c>
      <c r="B72" t="inlineStr">
        <is>
          <t>main</t>
        </is>
      </c>
      <c r="C72" t="inlineStr">
        <is>
          <t>Vampire</t>
        </is>
      </c>
      <c r="D72" t="n">
        <v>21000</v>
      </c>
      <c r="E72" t="n">
        <v>17</v>
      </c>
      <c r="F72" t="inlineStr">
        <is>
          <t>hero</t>
        </is>
      </c>
      <c r="H72" t="n">
        <v>425</v>
      </c>
      <c r="I72" t="n">
        <v>5</v>
      </c>
      <c r="J72" t="n">
        <v>0</v>
      </c>
      <c r="K72" t="n">
        <v>0</v>
      </c>
      <c r="L72" t="inlineStr">
        <is>
          <t>siege</t>
        </is>
      </c>
      <c r="M72" t="n">
        <v>799</v>
      </c>
      <c r="N72" t="n">
        <v>100</v>
      </c>
      <c r="P72" t="inlineStr">
        <is>
          <t>e00T</t>
        </is>
      </c>
      <c r="Q72" t="inlineStr">
        <is>
          <t>units\undead\HeroDreadLord\HeroDreadLord.mdl</t>
        </is>
      </c>
    </row>
    <row r="73">
      <c r="A73" t="n">
        <v>35</v>
      </c>
      <c r="B73" t="inlineStr">
        <is>
          <t>a</t>
        </is>
      </c>
      <c r="C73" t="inlineStr">
        <is>
          <t>Mummified Stalker</t>
        </is>
      </c>
      <c r="D73" t="n">
        <v>24500</v>
      </c>
      <c r="E73" t="n">
        <v>18</v>
      </c>
      <c r="F73" t="inlineStr">
        <is>
          <t>hero</t>
        </is>
      </c>
      <c r="H73" t="n">
        <v>220</v>
      </c>
      <c r="I73" t="n">
        <v>5</v>
      </c>
      <c r="J73" t="n">
        <v>0</v>
      </c>
      <c r="K73" t="n">
        <v>0</v>
      </c>
      <c r="L73" t="inlineStr">
        <is>
          <t>siege</t>
        </is>
      </c>
      <c r="M73" t="n">
        <v>799</v>
      </c>
      <c r="N73" t="n">
        <v>100</v>
      </c>
      <c r="P73" t="inlineStr">
        <is>
          <t>e02K</t>
        </is>
      </c>
      <c r="Q73" t="inlineStr">
        <is>
          <t>units\creeps\Zombie\Zombie.mdl</t>
        </is>
      </c>
    </row>
    <row r="74">
      <c r="A74" t="n">
        <v>36</v>
      </c>
      <c r="B74" t="inlineStr">
        <is>
          <t>main</t>
        </is>
      </c>
      <c r="C74" t="inlineStr">
        <is>
          <t>Soulless Fiend</t>
        </is>
      </c>
      <c r="D74" t="n">
        <v>26374</v>
      </c>
      <c r="E74" t="n">
        <v>17</v>
      </c>
      <c r="F74" t="inlineStr">
        <is>
          <t>medium</t>
        </is>
      </c>
      <c r="H74" t="n">
        <v>430</v>
      </c>
      <c r="I74" t="n">
        <v>5</v>
      </c>
      <c r="J74" t="n">
        <v>0</v>
      </c>
      <c r="K74" t="n">
        <v>0</v>
      </c>
      <c r="L74" t="inlineStr">
        <is>
          <t>siege</t>
        </is>
      </c>
      <c r="M74" t="n">
        <v>799</v>
      </c>
      <c r="N74" t="n">
        <v>100</v>
      </c>
      <c r="P74" t="inlineStr">
        <is>
          <t>e011</t>
        </is>
      </c>
      <c r="Q74" t="inlineStr">
        <is>
          <t>units\demon\DoomGuard\DoomGuard.mdl</t>
        </is>
      </c>
    </row>
    <row r="75">
      <c r="A75" t="n">
        <v>36</v>
      </c>
      <c r="B75" t="inlineStr">
        <is>
          <t>a</t>
        </is>
      </c>
      <c r="C75" t="inlineStr">
        <is>
          <t>Bad Seed</t>
        </is>
      </c>
      <c r="D75" t="n">
        <v>1</v>
      </c>
      <c r="F75" t="inlineStr">
        <is>
          <t>medium</t>
        </is>
      </c>
      <c r="H75" t="n">
        <v>522</v>
      </c>
      <c r="I75" t="n">
        <v>2</v>
      </c>
      <c r="J75" t="n">
        <v>0</v>
      </c>
      <c r="K75" t="n">
        <v>0</v>
      </c>
      <c r="L75" t="inlineStr">
        <is>
          <t>siege</t>
        </is>
      </c>
      <c r="M75" t="n">
        <v>799</v>
      </c>
      <c r="N75" t="n">
        <v>100</v>
      </c>
      <c r="O75" t="inlineStr">
        <is>
          <t>A02V,A013,Assk</t>
        </is>
      </c>
      <c r="P75" t="inlineStr">
        <is>
          <t>e01S</t>
        </is>
      </c>
      <c r="Q75" t="inlineStr">
        <is>
          <t>units\demon\DoomGuard\DoomGuard.mdl</t>
        </is>
      </c>
    </row>
    <row r="76">
      <c r="A76" t="n">
        <v>36</v>
      </c>
      <c r="B76" t="inlineStr">
        <is>
          <t>b</t>
        </is>
      </c>
      <c r="C76" t="inlineStr">
        <is>
          <t>Angel Executioner</t>
        </is>
      </c>
      <c r="D76" t="n">
        <v>31272</v>
      </c>
      <c r="E76" t="n">
        <v>18</v>
      </c>
      <c r="F76" t="inlineStr">
        <is>
          <t>medium</t>
        </is>
      </c>
      <c r="H76" t="n">
        <v>450</v>
      </c>
      <c r="I76" t="n">
        <v>5</v>
      </c>
      <c r="J76" t="n">
        <v>0</v>
      </c>
      <c r="K76" t="n">
        <v>0</v>
      </c>
      <c r="L76" t="inlineStr">
        <is>
          <t>siege</t>
        </is>
      </c>
      <c r="M76" t="n">
        <v>799</v>
      </c>
      <c r="N76" t="n">
        <v>100</v>
      </c>
      <c r="O76" t="inlineStr">
        <is>
          <t>Aegr</t>
        </is>
      </c>
      <c r="P76" t="inlineStr">
        <is>
          <t>e02T</t>
        </is>
      </c>
      <c r="Q76" t="inlineStr">
        <is>
          <t>units\other\DranaiWhite\DranaiWhite.mdl</t>
        </is>
      </c>
    </row>
    <row r="77">
      <c r="A77" t="n">
        <v>37</v>
      </c>
      <c r="B77" t="inlineStr">
        <is>
          <t>main</t>
        </is>
      </c>
      <c r="C77" t="inlineStr">
        <is>
          <t>Ancient Crab</t>
        </is>
      </c>
      <c r="D77" t="n">
        <v>28632</v>
      </c>
      <c r="E77" t="n">
        <v>18</v>
      </c>
      <c r="F77" t="inlineStr">
        <is>
          <t>large</t>
        </is>
      </c>
      <c r="H77" t="n">
        <v>435</v>
      </c>
      <c r="I77" t="n">
        <v>5</v>
      </c>
      <c r="J77" t="n">
        <v>0</v>
      </c>
      <c r="K77" t="n">
        <v>0</v>
      </c>
      <c r="L77" t="inlineStr">
        <is>
          <t>siege</t>
        </is>
      </c>
      <c r="M77" t="n">
        <v>799</v>
      </c>
      <c r="N77" t="n">
        <v>100</v>
      </c>
      <c r="O77" t="inlineStr">
        <is>
          <t>ACrk</t>
        </is>
      </c>
      <c r="P77" t="inlineStr">
        <is>
          <t>e012</t>
        </is>
      </c>
      <c r="Q77" t="inlineStr">
        <is>
          <t>Units\Creeps\Lobstrokkgreen\Lobstrokkgreen.mdl</t>
        </is>
      </c>
    </row>
    <row r="78">
      <c r="A78" t="n">
        <v>37</v>
      </c>
      <c r="B78" t="inlineStr">
        <is>
          <t>a</t>
        </is>
      </c>
      <c r="C78" t="inlineStr">
        <is>
          <t>Valiant Crustacean</t>
        </is>
      </c>
      <c r="D78" t="n">
        <v>34018</v>
      </c>
      <c r="E78" t="n">
        <v>13</v>
      </c>
      <c r="F78" t="inlineStr">
        <is>
          <t>large</t>
        </is>
      </c>
      <c r="I78" t="n">
        <v>5</v>
      </c>
      <c r="J78" t="n">
        <v>0</v>
      </c>
      <c r="K78" t="n">
        <v>0</v>
      </c>
      <c r="L78" t="inlineStr">
        <is>
          <t>siege</t>
        </is>
      </c>
      <c r="M78" t="n">
        <v>799</v>
      </c>
      <c r="N78" t="n">
        <v>100</v>
      </c>
      <c r="P78" t="inlineStr">
        <is>
          <t>e02U</t>
        </is>
      </c>
      <c r="Q78" t="inlineStr">
        <is>
          <t>Units\Creeps\Lobstrokkred\Lobstrokkred.mdl</t>
        </is>
      </c>
    </row>
    <row r="79">
      <c r="A79" t="n">
        <v>38</v>
      </c>
      <c r="B79" t="inlineStr">
        <is>
          <t>main</t>
        </is>
      </c>
      <c r="C79" t="inlineStr">
        <is>
          <t>Adrenalized Hiresword</t>
        </is>
      </c>
      <c r="D79" t="n">
        <v>33954</v>
      </c>
      <c r="E79" t="n">
        <v>18</v>
      </c>
      <c r="F79" t="inlineStr">
        <is>
          <t>fort</t>
        </is>
      </c>
      <c r="H79" t="n">
        <v>465</v>
      </c>
      <c r="I79" t="n">
        <v>5</v>
      </c>
      <c r="J79" t="n">
        <v>0</v>
      </c>
      <c r="K79" t="n">
        <v>0</v>
      </c>
      <c r="L79" t="inlineStr">
        <is>
          <t>siege</t>
        </is>
      </c>
      <c r="M79" t="n">
        <v>24</v>
      </c>
      <c r="N79" t="n">
        <v>100</v>
      </c>
      <c r="P79" t="inlineStr">
        <is>
          <t>e013</t>
        </is>
      </c>
      <c r="Q79" t="inlineStr">
        <is>
          <t>units\demon\ChaosHellscream\ChaosHellscream.mdl</t>
        </is>
      </c>
    </row>
    <row r="80">
      <c r="A80" t="n">
        <v>38</v>
      </c>
      <c r="B80" t="inlineStr">
        <is>
          <t>a</t>
        </is>
      </c>
      <c r="C80" t="inlineStr">
        <is>
          <t>Fire Lord</t>
        </is>
      </c>
      <c r="D80" t="n">
        <v>23568</v>
      </c>
      <c r="E80" t="n">
        <v>19</v>
      </c>
      <c r="F80" t="inlineStr">
        <is>
          <t>fort</t>
        </is>
      </c>
      <c r="H80" t="n">
        <v>390</v>
      </c>
      <c r="I80" t="n">
        <v>3</v>
      </c>
      <c r="J80" t="n">
        <v>0</v>
      </c>
      <c r="K80" t="n">
        <v>0</v>
      </c>
      <c r="L80" t="inlineStr">
        <is>
          <t>siege</t>
        </is>
      </c>
      <c r="M80" t="n">
        <v>25</v>
      </c>
      <c r="P80" t="inlineStr">
        <is>
          <t>e02D</t>
        </is>
      </c>
      <c r="Q80" t="inlineStr">
        <is>
          <t>Units\Creeps\HeroFlameLord\HeroFlameLord.mdl</t>
        </is>
      </c>
    </row>
    <row r="81">
      <c r="A81" t="n">
        <v>38</v>
      </c>
      <c r="B81" t="inlineStr">
        <is>
          <t>b</t>
        </is>
      </c>
      <c r="C81" t="inlineStr">
        <is>
          <t>Lava Spawn</t>
        </is>
      </c>
      <c r="D81" t="n">
        <v>21357</v>
      </c>
      <c r="E81" t="n">
        <v>19</v>
      </c>
      <c r="F81" t="inlineStr">
        <is>
          <t>fort</t>
        </is>
      </c>
      <c r="H81" t="n">
        <v>420</v>
      </c>
      <c r="I81" t="n">
        <v>1</v>
      </c>
      <c r="J81" t="n">
        <v>0</v>
      </c>
      <c r="K81" t="n">
        <v>0</v>
      </c>
      <c r="L81" t="inlineStr">
        <is>
          <t>siege</t>
        </is>
      </c>
      <c r="M81" t="n">
        <v>799</v>
      </c>
      <c r="N81" t="n">
        <v>100</v>
      </c>
      <c r="P81" t="inlineStr">
        <is>
          <t>e02E</t>
        </is>
      </c>
      <c r="Q81" t="inlineStr">
        <is>
          <t>Units\Creeps\LavaSpawn\LavaSpawn.mdl</t>
        </is>
      </c>
    </row>
    <row r="82">
      <c r="A82" t="n">
        <v>39</v>
      </c>
      <c r="B82" t="inlineStr">
        <is>
          <t>main</t>
        </is>
      </c>
      <c r="C82" t="inlineStr">
        <is>
          <t>Indomitable Sky Barge</t>
        </is>
      </c>
      <c r="D82" t="n">
        <v>35806</v>
      </c>
      <c r="E82" t="n">
        <v>19</v>
      </c>
      <c r="F82" t="inlineStr">
        <is>
          <t>fort</t>
        </is>
      </c>
      <c r="G82" t="inlineStr">
        <is>
          <t>fly</t>
        </is>
      </c>
      <c r="I82" t="n">
        <v>10</v>
      </c>
      <c r="J82" t="n">
        <v>0</v>
      </c>
      <c r="K82" t="n">
        <v>0</v>
      </c>
      <c r="L82" t="inlineStr">
        <is>
          <t>siege</t>
        </is>
      </c>
      <c r="M82" t="n">
        <v>799</v>
      </c>
      <c r="N82" t="n">
        <v>100</v>
      </c>
      <c r="O82" t="inlineStr">
        <is>
          <t>Assk</t>
        </is>
      </c>
      <c r="P82" t="inlineStr">
        <is>
          <t>e014</t>
        </is>
      </c>
      <c r="Q82" t="inlineStr">
        <is>
          <t>units\creeps\GoblinZeppelin\GoblinZeppelin.mdl</t>
        </is>
      </c>
    </row>
    <row r="83">
      <c r="A83" t="n">
        <v>39</v>
      </c>
      <c r="B83" t="inlineStr">
        <is>
          <t>a</t>
        </is>
      </c>
      <c r="C83" t="inlineStr">
        <is>
          <t>Super Evil Eagle</t>
        </is>
      </c>
      <c r="D83" t="n">
        <v>62450</v>
      </c>
      <c r="E83" t="n">
        <v>20</v>
      </c>
      <c r="F83" t="inlineStr">
        <is>
          <t>small</t>
        </is>
      </c>
      <c r="G83" t="inlineStr">
        <is>
          <t>fly</t>
        </is>
      </c>
      <c r="H83" t="n">
        <v>380</v>
      </c>
      <c r="I83" t="n">
        <v>10</v>
      </c>
      <c r="J83" t="n">
        <v>0</v>
      </c>
      <c r="K83" t="n">
        <v>0</v>
      </c>
      <c r="L83" t="inlineStr">
        <is>
          <t>siege</t>
        </is>
      </c>
      <c r="M83" t="n">
        <v>799</v>
      </c>
      <c r="N83" t="n">
        <v>100</v>
      </c>
      <c r="O83" t="inlineStr">
        <is>
          <t>Assk</t>
        </is>
      </c>
      <c r="P83" t="inlineStr">
        <is>
          <t>e00Z</t>
        </is>
      </c>
      <c r="Q83" t="inlineStr">
        <is>
          <t>units\nightelf\DruidoftheTalon\DruidoftheTalon.mdl</t>
        </is>
      </c>
    </row>
    <row r="84">
      <c r="A84" t="n">
        <v>40</v>
      </c>
      <c r="B84" t="inlineStr">
        <is>
          <t>main</t>
        </is>
      </c>
      <c r="C84" t="inlineStr">
        <is>
          <t>The Unfaithful</t>
        </is>
      </c>
      <c r="D84" t="n">
        <v>36822</v>
      </c>
      <c r="E84" t="n">
        <v>19</v>
      </c>
      <c r="F84" t="inlineStr">
        <is>
          <t>hero</t>
        </is>
      </c>
      <c r="H84" t="n">
        <v>485</v>
      </c>
      <c r="I84" t="n">
        <v>5</v>
      </c>
      <c r="J84" t="n">
        <v>0</v>
      </c>
      <c r="K84" t="n">
        <v>0</v>
      </c>
      <c r="L84" t="inlineStr">
        <is>
          <t>siege</t>
        </is>
      </c>
      <c r="M84" t="n">
        <v>999</v>
      </c>
      <c r="N84" t="n">
        <v>100</v>
      </c>
      <c r="O84" t="inlineStr">
        <is>
          <t>A013</t>
        </is>
      </c>
      <c r="P84" t="inlineStr">
        <is>
          <t>e001</t>
        </is>
      </c>
      <c r="Q84" t="inlineStr">
        <is>
          <t>units\undead\Necromancer\Necromancer.mdl</t>
        </is>
      </c>
    </row>
    <row r="85">
      <c r="A85" t="n">
        <v>40</v>
      </c>
      <c r="B85" t="inlineStr">
        <is>
          <t>a</t>
        </is>
      </c>
      <c r="C85" t="inlineStr">
        <is>
          <t>Acolyte of Flame</t>
        </is>
      </c>
      <c r="D85" t="n">
        <v>88024</v>
      </c>
      <c r="E85" t="n">
        <v>20</v>
      </c>
      <c r="F85" t="inlineStr">
        <is>
          <t>hero</t>
        </is>
      </c>
      <c r="H85" t="n">
        <v>250</v>
      </c>
      <c r="I85" t="n">
        <v>5</v>
      </c>
      <c r="J85" t="n">
        <v>0</v>
      </c>
      <c r="K85" t="n">
        <v>0</v>
      </c>
      <c r="L85" t="inlineStr">
        <is>
          <t>siege</t>
        </is>
      </c>
      <c r="M85" t="n">
        <v>999</v>
      </c>
      <c r="N85" t="n">
        <v>100</v>
      </c>
      <c r="O85" t="inlineStr">
        <is>
          <t>A013</t>
        </is>
      </c>
      <c r="P85" t="inlineStr">
        <is>
          <t>e016</t>
        </is>
      </c>
      <c r="Q85" t="inlineStr">
        <is>
          <t>units\human\Kael\Kael.mdl</t>
        </is>
      </c>
    </row>
    <row r="86">
      <c r="A86" t="n">
        <v>41</v>
      </c>
      <c r="B86" t="inlineStr">
        <is>
          <t>main</t>
        </is>
      </c>
      <c r="C86" t="inlineStr">
        <is>
          <t>Evil One's Fingers</t>
        </is>
      </c>
      <c r="D86" t="n">
        <v>55000</v>
      </c>
      <c r="E86" t="n">
        <v>20</v>
      </c>
      <c r="F86" t="inlineStr">
        <is>
          <t>medium</t>
        </is>
      </c>
      <c r="H86" t="n">
        <v>435</v>
      </c>
      <c r="I86" t="n">
        <v>5</v>
      </c>
      <c r="J86" t="n">
        <v>0</v>
      </c>
      <c r="K86" t="n">
        <v>0</v>
      </c>
      <c r="L86" t="inlineStr">
        <is>
          <t>siege</t>
        </is>
      </c>
      <c r="M86" t="n">
        <v>999</v>
      </c>
      <c r="N86" t="n">
        <v>100</v>
      </c>
      <c r="P86" t="inlineStr">
        <is>
          <t>e015</t>
        </is>
      </c>
      <c r="Q86" t="inlineStr">
        <is>
          <t>Units\Creeps\ForgottenOne\ForgottenOneTent.mdl</t>
        </is>
      </c>
    </row>
    <row r="87">
      <c r="A87" t="n">
        <v>41</v>
      </c>
      <c r="B87" t="inlineStr">
        <is>
          <t>a</t>
        </is>
      </c>
      <c r="C87" t="inlineStr">
        <is>
          <t>Evil One's Machines</t>
        </is>
      </c>
      <c r="D87" t="n">
        <v>62500</v>
      </c>
      <c r="E87" t="n">
        <v>21</v>
      </c>
      <c r="H87" t="n">
        <v>375</v>
      </c>
      <c r="I87" t="n">
        <v>5</v>
      </c>
      <c r="J87" t="n">
        <v>0</v>
      </c>
      <c r="K87" t="n">
        <v>0</v>
      </c>
      <c r="L87" t="inlineStr">
        <is>
          <t>siege</t>
        </is>
      </c>
      <c r="M87" t="n">
        <v>999</v>
      </c>
      <c r="N87" t="n">
        <v>100</v>
      </c>
      <c r="P87" t="inlineStr">
        <is>
          <t>e01H</t>
        </is>
      </c>
      <c r="Q87" t="inlineStr">
        <is>
          <t>Units\Creeps\HeroTinkerRobot\HeroTinkerRobot.mdl</t>
        </is>
      </c>
    </row>
    <row r="88">
      <c r="A88" t="n">
        <v>42</v>
      </c>
      <c r="B88" t="inlineStr">
        <is>
          <t>main</t>
        </is>
      </c>
      <c r="C88" t="inlineStr">
        <is>
          <t>Gorishi Warrior</t>
        </is>
      </c>
      <c r="D88" t="n">
        <v>90000</v>
      </c>
      <c r="E88" t="n">
        <v>25</v>
      </c>
      <c r="F88" t="inlineStr">
        <is>
          <t>large</t>
        </is>
      </c>
      <c r="H88" t="n">
        <v>335</v>
      </c>
      <c r="I88" t="n">
        <v>10</v>
      </c>
      <c r="J88" t="n">
        <v>0</v>
      </c>
      <c r="K88" t="n">
        <v>0</v>
      </c>
      <c r="L88" t="inlineStr">
        <is>
          <t>siege</t>
        </is>
      </c>
      <c r="M88" t="n">
        <v>999</v>
      </c>
      <c r="N88" t="n">
        <v>100</v>
      </c>
      <c r="O88" t="inlineStr">
        <is>
          <t>A013</t>
        </is>
      </c>
      <c r="P88" t="inlineStr">
        <is>
          <t>e017</t>
        </is>
      </c>
      <c r="Q88" t="inlineStr">
        <is>
          <t>Units\Creeps\FacelessOne\FacelessOne.mdl</t>
        </is>
      </c>
    </row>
    <row r="89">
      <c r="A89" t="n">
        <v>42</v>
      </c>
      <c r="B89" t="inlineStr">
        <is>
          <t>a</t>
        </is>
      </c>
      <c r="C89" t="inlineStr">
        <is>
          <t>Anti-Nova</t>
        </is>
      </c>
      <c r="D89" t="n">
        <v>75000</v>
      </c>
      <c r="E89" t="n">
        <v>15</v>
      </c>
      <c r="F89" t="inlineStr">
        <is>
          <t>large</t>
        </is>
      </c>
      <c r="H89" t="n">
        <v>375</v>
      </c>
      <c r="I89" t="n">
        <v>5</v>
      </c>
      <c r="J89" t="n">
        <v>0</v>
      </c>
      <c r="K89" t="n">
        <v>0</v>
      </c>
      <c r="L89" t="inlineStr">
        <is>
          <t>siege</t>
        </is>
      </c>
      <c r="M89" t="n">
        <v>999</v>
      </c>
      <c r="N89" t="n">
        <v>100</v>
      </c>
      <c r="O89" t="inlineStr">
        <is>
          <t>A013</t>
        </is>
      </c>
      <c r="P89" t="inlineStr">
        <is>
          <t>e027</t>
        </is>
      </c>
      <c r="Q89" t="inlineStr">
        <is>
          <t>Abilities\Spells\Undead\UnholyFrenzy\UnholyFrenzyTarget.mdl</t>
        </is>
      </c>
    </row>
    <row r="90">
      <c r="A90" t="n">
        <v>43</v>
      </c>
      <c r="B90" t="inlineStr">
        <is>
          <t>main</t>
        </is>
      </c>
      <c r="C90" t="inlineStr">
        <is>
          <t>Æther Storm</t>
        </is>
      </c>
      <c r="D90" t="n">
        <v>250000</v>
      </c>
      <c r="E90" t="n">
        <v>100</v>
      </c>
      <c r="I90" t="n">
        <v>1</v>
      </c>
      <c r="J90" t="n">
        <v>0</v>
      </c>
      <c r="K90" t="n">
        <v>0</v>
      </c>
      <c r="L90" t="inlineStr">
        <is>
          <t>siege</t>
        </is>
      </c>
      <c r="M90" t="n">
        <v>999</v>
      </c>
      <c r="N90" t="n">
        <v>100</v>
      </c>
      <c r="O90" t="inlineStr">
        <is>
          <t>AEev,A013</t>
        </is>
      </c>
      <c r="P90" t="inlineStr">
        <is>
          <t>e01J</t>
        </is>
      </c>
      <c r="Q90" t="inlineStr">
        <is>
          <t>Abilities\Spells\Other\Tornado\TornadoElemental.mdl</t>
        </is>
      </c>
    </row>
    <row r="91">
      <c r="A91" t="n">
        <v>43</v>
      </c>
      <c r="B91" t="inlineStr">
        <is>
          <t>a</t>
        </is>
      </c>
      <c r="C91" t="inlineStr">
        <is>
          <t>The Last Samurai</t>
        </is>
      </c>
      <c r="D91" t="n">
        <v>175000</v>
      </c>
      <c r="E91" t="n">
        <v>100</v>
      </c>
      <c r="I91" t="n">
        <v>1</v>
      </c>
      <c r="J91" t="n">
        <v>0</v>
      </c>
      <c r="K91" t="n">
        <v>0</v>
      </c>
      <c r="L91" t="inlineStr">
        <is>
          <t>siege</t>
        </is>
      </c>
      <c r="M91" t="n">
        <v>999</v>
      </c>
      <c r="N91" t="n">
        <v>100</v>
      </c>
      <c r="O91" t="inlineStr">
        <is>
          <t>AEev,ACm2,A013</t>
        </is>
      </c>
      <c r="P91" t="inlineStr">
        <is>
          <t>e02X</t>
        </is>
      </c>
      <c r="Q91" t="inlineStr">
        <is>
          <t>units\orc\HeroBladeMaster\HeroBladeMaster.mdl</t>
        </is>
      </c>
    </row>
    <row r="92">
      <c r="A92" t="n">
        <v>44</v>
      </c>
      <c r="B92" t="inlineStr">
        <is>
          <t>main</t>
        </is>
      </c>
      <c r="C92" t="inlineStr">
        <is>
          <t>Miasma Ghost</t>
        </is>
      </c>
      <c r="D92" t="n">
        <v>7500</v>
      </c>
      <c r="E92" t="n">
        <v>5</v>
      </c>
      <c r="F92" t="inlineStr">
        <is>
          <t>fort</t>
        </is>
      </c>
      <c r="H92" t="n">
        <v>295</v>
      </c>
      <c r="I92" t="n">
        <v>1</v>
      </c>
      <c r="J92" t="n">
        <v>0</v>
      </c>
      <c r="K92" t="n">
        <v>0</v>
      </c>
      <c r="L92" t="inlineStr">
        <is>
          <t>siege</t>
        </is>
      </c>
      <c r="M92" t="n">
        <v>999</v>
      </c>
      <c r="N92" t="n">
        <v>100</v>
      </c>
      <c r="O92" t="inlineStr">
        <is>
          <t>A00E</t>
        </is>
      </c>
      <c r="P92" t="inlineStr">
        <is>
          <t>e01I</t>
        </is>
      </c>
      <c r="Q92" t="inlineStr">
        <is>
          <t>Abilities\Spells\Undead\Possession\PossessionMissile.mdl</t>
        </is>
      </c>
    </row>
    <row r="93">
      <c r="A93" t="n">
        <v>44</v>
      </c>
      <c r="B93" t="inlineStr">
        <is>
          <t>a</t>
        </is>
      </c>
      <c r="C93" t="inlineStr">
        <is>
          <t>Arioch's Warbird</t>
        </is>
      </c>
      <c r="D93" t="n">
        <v>24531</v>
      </c>
      <c r="E93" t="n">
        <v>5</v>
      </c>
      <c r="F93" t="inlineStr">
        <is>
          <t>small</t>
        </is>
      </c>
      <c r="G93" t="inlineStr">
        <is>
          <t>fly</t>
        </is>
      </c>
      <c r="H93" t="n">
        <v>235</v>
      </c>
      <c r="I93" t="n">
        <v>1</v>
      </c>
      <c r="J93" t="n">
        <v>0</v>
      </c>
      <c r="K93" t="n">
        <v>0</v>
      </c>
      <c r="L93" t="inlineStr">
        <is>
          <t>siege</t>
        </is>
      </c>
      <c r="M93" t="n">
        <v>999</v>
      </c>
      <c r="N93" t="n">
        <v>100</v>
      </c>
      <c r="O93" t="inlineStr">
        <is>
          <t>Aegr,Apsh</t>
        </is>
      </c>
      <c r="P93" t="inlineStr">
        <is>
          <t>e02W</t>
        </is>
      </c>
      <c r="Q93" t="inlineStr">
        <is>
          <t>units\human\BloodElfDragonHawk\BloodElfDragonHawk.mdl</t>
        </is>
      </c>
    </row>
  </sheetData>
  <autoFilter ref="A1:R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2026-09-12T01:19:23Z</dcterms:created>
  <dcterms:modified xsi:type="dcterms:W3CDTF">2026-09-12T01:19:23Z</dcterms:modified>
</cp:coreProperties>
</file>